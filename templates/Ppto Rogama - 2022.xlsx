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Volumes/ROGAMA_PRESUPUESTOS/REFORMAS ROGAMA/PRESUPUESTOS/LUISKAR/PRESUPUESTO RAPIDO/"/>
    </mc:Choice>
  </mc:AlternateContent>
  <xr:revisionPtr revIDLastSave="0" documentId="13_ncr:1_{A01B3E65-2662-F345-ADDF-4870B6C12A78}" xr6:coauthVersionLast="47" xr6:coauthVersionMax="47" xr10:uidLastSave="{00000000-0000-0000-0000-000000000000}"/>
  <bookViews>
    <workbookView xWindow="3460" yWindow="540" windowWidth="29360" windowHeight="26240" activeTab="1" xr2:uid="{00000000-000D-0000-FFFF-FFFF00000000}"/>
  </bookViews>
  <sheets>
    <sheet name="Resumen de exportación" sheetId="1" r:id="rId1"/>
    <sheet name="PRESUPUESTO" sheetId="2" r:id="rId2"/>
    <sheet name="base de datos "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1" i="2" l="1"/>
  <c r="L80" i="2"/>
  <c r="L79" i="2"/>
  <c r="L78" i="2"/>
  <c r="L77" i="2"/>
  <c r="L76" i="2"/>
  <c r="L75" i="2"/>
  <c r="L74" i="2"/>
  <c r="L73" i="2"/>
  <c r="L72" i="2"/>
  <c r="L71" i="2"/>
  <c r="J86" i="2"/>
  <c r="I65" i="2"/>
  <c r="I64" i="2"/>
  <c r="L82" i="2" l="1"/>
  <c r="L83" i="2" s="1"/>
  <c r="L84" i="2" s="1"/>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D81" i="2"/>
  <c r="D80" i="2"/>
  <c r="D79" i="2"/>
  <c r="D78" i="2"/>
  <c r="D77" i="2"/>
</calcChain>
</file>

<file path=xl/sharedStrings.xml><?xml version="1.0" encoding="utf-8"?>
<sst xmlns="http://schemas.openxmlformats.org/spreadsheetml/2006/main" count="959" uniqueCount="622">
  <si>
    <t>Este documento se ha exportado de Numbers. Cada tabla se ha convertido en una hoja de cálculo de Excel. Los demás objetos de las hojas de Numbers se han colocado en distintas hojas de cálculo. Recuerda que el cálculo de fórmulas puede ser diferente en Excel.</t>
  </si>
  <si>
    <t>Nombre de hoja de Numbers</t>
  </si>
  <si>
    <t>Nombre de tabla de Numbers</t>
  </si>
  <si>
    <t>Nombre de hoja de cálculo de Excel</t>
  </si>
  <si>
    <t>PRESUPUESTO</t>
  </si>
  <si>
    <t>Tabla 1</t>
  </si>
  <si>
    <t>EXPEDIENTE:</t>
  </si>
  <si>
    <t>DIRECCIÓN:</t>
  </si>
  <si>
    <t>FECHA:</t>
  </si>
  <si>
    <t>Nº EXPEDIENTE:</t>
  </si>
  <si>
    <t>DESCRIPCIÓN DE LA OFERTA Y PROPUESTA ECONÓMICA</t>
  </si>
  <si>
    <t>codigo</t>
  </si>
  <si>
    <t>Concepto</t>
  </si>
  <si>
    <t>Cantidad</t>
  </si>
  <si>
    <t>Precio ud.</t>
  </si>
  <si>
    <t>Importe</t>
  </si>
  <si>
    <t>Total</t>
  </si>
  <si>
    <t>IVA</t>
  </si>
  <si>
    <t>Total IVA incluido</t>
  </si>
  <si>
    <t xml:space="preserve">FECHA DEL PRESUPUESTO:   </t>
  </si>
  <si>
    <t xml:space="preserve">base de datos </t>
  </si>
  <si>
    <t>A</t>
  </si>
  <si>
    <t>B</t>
  </si>
  <si>
    <t>C</t>
  </si>
  <si>
    <t>D</t>
  </si>
  <si>
    <t>DESCRIPCIÓN DEL TRABAJO</t>
  </si>
  <si>
    <t>IMPORTE PROF</t>
  </si>
  <si>
    <t>UD Desmontaje de puerta de paso</t>
  </si>
  <si>
    <t>UD Desmontaje de ventana metálica</t>
  </si>
  <si>
    <t>UD Desmontaje de capialzado de persiana</t>
  </si>
  <si>
    <t>UD Desmontaje ventana monobloc con persiana</t>
  </si>
  <si>
    <t>M2 Levantado de barandillas a mano</t>
  </si>
  <si>
    <t>M2 Levantado de vallados ligeros a mano</t>
  </si>
  <si>
    <t>M2 Levantado de mampara divisoria  i/ vidrio</t>
  </si>
  <si>
    <t>UD Desmontaje de instalación eléctrica de 1 vivienda</t>
  </si>
  <si>
    <t>UD Desmontaje de instalación eléctrica  por estancia</t>
  </si>
  <si>
    <t>UD Desmontaje de mecanismos eléctricos y/o aparatos de iluminación</t>
  </si>
  <si>
    <t>UD Desmontaje de instalación AF-ACS y desagües por estancia o cuarto húmedo</t>
  </si>
  <si>
    <t>UD Desmontaje de instalación de calefacción 1 vivienda</t>
  </si>
  <si>
    <t>UD Desmontaje de instalación de gas</t>
  </si>
  <si>
    <t>UD Desmontaje de aparato sanitario y/o radiador, incluso grifería y taponado de tomas</t>
  </si>
  <si>
    <t>UD Levantado bañera/plato de ducha</t>
  </si>
  <si>
    <t>UD Desmontaje de termo eléctrico, caldera o calentador</t>
  </si>
  <si>
    <t>UD Desmontaje de muebles de cocina completa</t>
  </si>
  <si>
    <t>ML Desmontaje de canalón (no incluido montaje de andamios)</t>
  </si>
  <si>
    <t>UD Demolición de arqueta</t>
  </si>
  <si>
    <t>M2 Demolición de forjado</t>
  </si>
  <si>
    <t>UD Demolición de peldaño, sin incluir peldañeado  (1m de ancho)</t>
  </si>
  <si>
    <t>M2 Demolición de falso techo de escayola</t>
  </si>
  <si>
    <t>M2 Demolición falso techo lamas madera,aluminio</t>
  </si>
  <si>
    <t>ML Demolición de moldura de escayola</t>
  </si>
  <si>
    <t>ML Desmontaje de rodapié de terrazo o cerámico, incluido la ejecución de remates</t>
  </si>
  <si>
    <t>ML Desmontaje de rodapié de madera</t>
  </si>
  <si>
    <t>M2 Demolición de pavimento de parquet o tarima</t>
  </si>
  <si>
    <t>M2 Demolición de  alicatados cerámicos, sin incluir  mortero soporte</t>
  </si>
  <si>
    <t>M2 Demolición de alicatados cerámicos, incluido la demolición del  mortero soporte cuándo sea necesario</t>
  </si>
  <si>
    <t>M2 Demolición de aplacados de piedra, incluido la demolición del  mortero soporte cuándo sea necesario</t>
  </si>
  <si>
    <t>M2  Demolición de  solados cerámicos</t>
  </si>
  <si>
    <t>M2 Demolición de solados de terrazo</t>
  </si>
  <si>
    <t>ML  Demolición de albardilla</t>
  </si>
  <si>
    <t xml:space="preserve">M2 Desmontaje de pavimentos / revestimientos flexibles </t>
  </si>
  <si>
    <t>M2 Desmontaje de revestimiento de papel</t>
  </si>
  <si>
    <t xml:space="preserve">M2 Desmontaje de panelado de madera </t>
  </si>
  <si>
    <t xml:space="preserve">M2 Demolición de capa de mortero hasta 10cm de espesor </t>
  </si>
  <si>
    <t>M2 Demolición de solera de hormigón &lt; 25cm</t>
  </si>
  <si>
    <t>M2 Demolición de solera de hormigón (25-30 cm)</t>
  </si>
  <si>
    <t xml:space="preserve">M2 Picado de guarnecido y enlucido de ladrillo hasta la base </t>
  </si>
  <si>
    <t xml:space="preserve">M2 Picoteado de enlucido de yeso </t>
  </si>
  <si>
    <t xml:space="preserve">M2 Picoteado de muro de fábrica de ladrillo </t>
  </si>
  <si>
    <t xml:space="preserve">M2 Eliminación de pintura plástica sobre yeso </t>
  </si>
  <si>
    <t xml:space="preserve">M2 Eliminación de pintura plástica sobre enfoscado </t>
  </si>
  <si>
    <t xml:space="preserve">M2 Eliminación de pintura plástica sobre fábrica de ladrillo </t>
  </si>
  <si>
    <t xml:space="preserve">M2 Eliminación de pintura plástica sobre carpintería de madera </t>
  </si>
  <si>
    <t>M2 Prepar  y limpieza paramentos para posterior revestido</t>
  </si>
  <si>
    <t xml:space="preserve">M2 Demolición Tabique ladrillo hueco sencillo o rasillones </t>
  </si>
  <si>
    <t xml:space="preserve">M2 Demolición Tabicón de ladrillo hueco doble </t>
  </si>
  <si>
    <t xml:space="preserve">M2 Demolición de Tabique de 1/2 pie de ladrillo  hueco doble </t>
  </si>
  <si>
    <t xml:space="preserve">M2 Demolición de muro, fábrica de ladrillo macizo ½ pie </t>
  </si>
  <si>
    <t xml:space="preserve">M2 Demolición de muro de fábrica de ladrillo macizo de 1 pie de espesor </t>
  </si>
  <si>
    <t xml:space="preserve">M2 Demolición de muro de fábrica de ladrillo macizo de 1 1/2 pie de espesor </t>
  </si>
  <si>
    <t>M2 Demolición de muro de bloque de hormigón hueco de 30cm de espesor</t>
  </si>
  <si>
    <t>M2 Demolición de muro de bloque de hormigón macizo de 30cm de espesor</t>
  </si>
  <si>
    <t xml:space="preserve">M2 Demolición tabique de pladur incluido desmontaje de perfilería </t>
  </si>
  <si>
    <t xml:space="preserve">M2 Demolición de tabique de piezas de vidrio (pavés) </t>
  </si>
  <si>
    <t xml:space="preserve">M2 Demolición de celosía cerámica </t>
  </si>
  <si>
    <t>M3 carga de escombros a vertedero 1M3</t>
  </si>
  <si>
    <t>UD Alquiler de contenedor de  4 M3</t>
  </si>
  <si>
    <t>UD Alquiler de contenedor de  6 M3</t>
  </si>
  <si>
    <t>UD Alquiler saco industrial de 1M3</t>
  </si>
  <si>
    <t>M2 Fábrica de ladrillo cara no vista ½ pie de espesor  (25*12*7)</t>
  </si>
  <si>
    <t>M2 Fábrica de ladrillo cara no vista 1 pie de espesor  (25*12*7)</t>
  </si>
  <si>
    <t>M2 Fábrica de ladrillo cara vista ½ pie de espesor (25*12*5)</t>
  </si>
  <si>
    <t>M2 Fábrica de ladrillo cara vista 1 pie de espesor (25*12*5)</t>
  </si>
  <si>
    <t>M2 Fábrica de bloque termoarcilla de (30*19*19)</t>
  </si>
  <si>
    <t>M2 Fábrica de bloque termoarcilla de (30*19*14)</t>
  </si>
  <si>
    <t>M2 Tabique de ladrillo hueco sencillo o rasillones</t>
  </si>
  <si>
    <t>M2 Tabique de ladrillo hueco doble, tabicón</t>
  </si>
  <si>
    <t>M2 Tabique de ladrillo hueco doble de 1/2 pie</t>
  </si>
  <si>
    <t>M2 Tabique de bloques de vidrio translúcido pavés, incluido material</t>
  </si>
  <si>
    <t>M2 Tabique trasdosado directo de pladur</t>
  </si>
  <si>
    <t>M2 Tabique trasdosado pladur sin aislante, incluida perfilería metálica</t>
  </si>
  <si>
    <t>M2 Tabique de pladur 15/46/15, incluida perfilería metálica, sin aislante</t>
  </si>
  <si>
    <t>M2 Placa de pladur adicional de 13 ó 15mm de espesor</t>
  </si>
  <si>
    <t>M2 Placa de pladur adicional con tratamiento hidrofugo de 13 ó 15mm de espesor</t>
  </si>
  <si>
    <t>M2 Placa de pladur adicional con tratamiento acustico de 13 ó 15mm de espesor, tipo phonique ó similar</t>
  </si>
  <si>
    <t>M2 Aislamiento acústico realizada con membrana acustica tipo DANOFON o similar, formada por base bituminosa y mantas de fibras de algodón a ambos lados, de 28mm espesor total</t>
  </si>
  <si>
    <t>M2 Aislamiento acústico realizado con aislante COPOPREN (particulas de poliuretano con aditivo acustico especial) o similar  en panel adherido de 40mm</t>
  </si>
  <si>
    <t>M2 Aislamiento acústico con  complejo insonorizante CARFLEX o similar (capa elastómera unido a fieltro poroso de fibras textiles) de 18mm con pegamento "ASFALTEX"</t>
  </si>
  <si>
    <t>ML Aislamiento acústico de bajantes con complejo insonorizante CARFLEX de 18mm con pegamento "ASFALTEX"</t>
  </si>
  <si>
    <t>M2 Aislamiento de fibra de vidrio/lana de roca ó similar  de 40 MM espesor</t>
  </si>
  <si>
    <t>M2 Enfoscado con mortero de cemento con o sin malla de fibra de vidrio</t>
  </si>
  <si>
    <t>M2 Enfoscado con mortero de cemento maestreado</t>
  </si>
  <si>
    <t>M2 Guarnecido de yeso grueso sin maestrear</t>
  </si>
  <si>
    <t>M2 Guarnecido de yeso grueso maestreado</t>
  </si>
  <si>
    <t>M2 Enlucido yeso fino</t>
  </si>
  <si>
    <t>M2 Guarnecido y enlucido de yeso sin maestrear</t>
  </si>
  <si>
    <t>M2 Guarnecido y enlucido de yeso maestreado</t>
  </si>
  <si>
    <t>M2 Revestimiento monocapa incluido malla de fibra de vidrio</t>
  </si>
  <si>
    <t>M2 Ejecución de solera para parquet, 4-6 cm con dosif. 1/3 (M 160)</t>
  </si>
  <si>
    <t>M2 Ejecución de capa de nivelación o plastón para posterior solado</t>
  </si>
  <si>
    <t>M2 Ejecución de solera con mallazo de reparto, 7-12 cm</t>
  </si>
  <si>
    <t>M2 Pasta niveladora para solados para aborber diferencias de 4mm, sobre soporte preparado</t>
  </si>
  <si>
    <t>M2 Ejecución de pav. continuo de hormigón impreso de 8cm de espesor, incluido armado con mallazo, endurecido y enriquecido superficial y con acabado impreso en relieve mediante estampación de moldes de goma. En superficies menores a 30m2</t>
  </si>
  <si>
    <t>M2 Ejecución de pav. continuo de hormigón impreso de 8cm de espesor, incluido armado con mallazo, endurecido y enriquecido superficial y con acabado impreso en relieve mediante estampación de moldes de goma. En superficies superiores a 30m2</t>
  </si>
  <si>
    <t>P.A. Ayudas de Albañilería a Electricidad, Fontanería, Calefacción, Aire Acondicionado</t>
  </si>
  <si>
    <t>25 % del Capitulo Instalación.</t>
  </si>
  <si>
    <t>ML  Apertura y Tapado de rozas para Ayudas de Albañilería a Electricidad, Fontanería, Calefacción, Instalación de Aire Acondicionado, apertura y tapado de rozas</t>
  </si>
  <si>
    <t>UD de recibido de cajas de mecanismos eléctricos</t>
  </si>
  <si>
    <t>UD de recibido de caj ade registro</t>
  </si>
  <si>
    <t>UD Apertura de hueco en tabiquería para nueva puerta de paso incluido suministro, recibido, aplomado y colocación de precerco de pino</t>
  </si>
  <si>
    <t>UD Tabicado de hueco de puerta de paso  incluido guarnecido y enlucido de yesos</t>
  </si>
  <si>
    <t>UD Recibido de precerco de madera para puerta de paso sencilla, incluido suministro de precerco</t>
  </si>
  <si>
    <t>UD Recibido de precerco de madera para puerta de paso sencilla, adaptando hueco a medidas estándar, incluido sumistro de precerco</t>
  </si>
  <si>
    <t>UD Recibido de precerco de madera para puerta de paso doble, incluido suministro de precerco</t>
  </si>
  <si>
    <t>UD Recibido de precerco de madera  para frente de armario, incluido suministro de precerco</t>
  </si>
  <si>
    <t>UD Recibido de precerco de madera para frente de armario, adaptando hueco a medidas estándar, incluido suministro de precerco</t>
  </si>
  <si>
    <t>UD Recibido de bastidor metálico (cassonetto) para alojar puertas correderas</t>
  </si>
  <si>
    <t>UD Recibido de puerta blindada</t>
  </si>
  <si>
    <t>UD Recibido de puerta acorazada</t>
  </si>
  <si>
    <t>UD Recibido de precerco para ventana de aluminio,incluido suministro de precerco y remates</t>
  </si>
  <si>
    <t>UD Recibido de ventana atornillada a cerco y sellado perimetral</t>
  </si>
  <si>
    <t>UD Recibido de ventana con albañilería</t>
  </si>
  <si>
    <t>UD Recibido de bañera, realización de pates y ejecución de faldón con ladrillo hueco sencillo</t>
  </si>
  <si>
    <t>UD Recibido de plato de ducha incluso ejecución de faldón con ladrillo hueco sencillo</t>
  </si>
  <si>
    <t>UD Formación de plato de ducha de obra de dim. máx. 80*130 cms. compuesto por sub-base de ladrillo perforado, formación de pendientes con mortero de cemento y arena de rio en dosificación 1/4, impermeabilización y escalón frontal de ladrillo hueco doble, incluso recibido de sumidero central</t>
  </si>
  <si>
    <t>UD Fabricación de arqueta de fabrica de ladrilo de dim 63x63x80 incluido enfoscado interior, tapa de hormigón prefabricado registrable</t>
  </si>
  <si>
    <t>UD de Suministro y colocación de tapa de arqueta de hormigón prefabricada registrable con cierre estanco preparado para revestir</t>
  </si>
  <si>
    <t>UD Tabicado de capialzados de hasta 40 cms. de altura y 2 metros de vano, con ladrillo hueco sencillo de 40x20x4, recibido con pasta de yeso negro, i/ perfileria metálica serie L 40.40 debidamente miniada, replanteo, roturas, humedecido de las piezas, limpieza y medios auxiliares, listo para revestir</t>
  </si>
  <si>
    <t>M2  Raspado cemento blanco en juntas alicatado/solado y posterior enlechado</t>
  </si>
  <si>
    <t>UD Enmarcado de espejo en paramento alicatado (no incluido vidrio)</t>
  </si>
  <si>
    <t>UD Fabricación de hornacina</t>
  </si>
  <si>
    <t>UD Ejecución de arco de fábrica (hasta ancho 80 cm)</t>
  </si>
  <si>
    <t>M2 Solado con baldosín catalán, colocadas de forma tradicional, (incluye mano de obra y material de agarre)</t>
  </si>
  <si>
    <t>M2 Solado con piezas de gres colocadas de forma tradicional, (incluye mano de obra y material de agarre)</t>
  </si>
  <si>
    <t>M2 Solado con piezas de gres porcelánico de gran formato, colocadas de forma tradicional (incluye mano de obra y material de agarre)</t>
  </si>
  <si>
    <t>M2 Solado con piezas de  terrazo ó solados con junta, colocadas de forma tradicional (incluye mano de obra y material de agarre)</t>
  </si>
  <si>
    <t>M2 Suplemento en mano de obra por colocación especial a cartabón en solados</t>
  </si>
  <si>
    <t>ML Colocación de rodapié de terrazo, gres, catalán y similares (incluye mano de obra y material de agarre)</t>
  </si>
  <si>
    <t>M2 Pulido y abrillantado de terrazo o mármol</t>
  </si>
  <si>
    <t>UD Pulido y abrillantado de peldaños de terrazo y mármol, con radial</t>
  </si>
  <si>
    <t>UD Abrillantado de peldaños de terrazo o mármol</t>
  </si>
  <si>
    <t>M2 Alicatado con piezas cerámicas recibidas con mortero de cemento  (incluye mano de obra y material de agarre)</t>
  </si>
  <si>
    <t>M2 Alicatado con piezas cerámicas recibidos con cemento cola previo enfoscado maestreado  (incluye mano de obra y material de agarre)</t>
  </si>
  <si>
    <t>M2 Alicatado con piezas cerámicas a cartabón o piezas de 10x10  recibidas con cemento cola previo enfoscado maestreado  (incluye mano de obra y material de agarre)</t>
  </si>
  <si>
    <t>M2 Alicatado con piezas de gres porcelánico  gran formato recibido con cemento cola y previo enfoscado maestreado (incluye mano de obra y material de agarre)</t>
  </si>
  <si>
    <t>ML Colocación de cenefa con piezas cerámicas colocadas de forma tradicional (incluye mano de obra y material de agarre)</t>
  </si>
  <si>
    <t>ML Colocación de vierteaguas  de ancho &lt;14cm recibido con mortero de cemento (incluye mano de obra y material de agarre)</t>
  </si>
  <si>
    <t>M2 Rejuntado de alicatado y solado con mortero especial para juntas de cerámica (BORADA)</t>
  </si>
  <si>
    <t>M2 Blanqueado de juntas, incluye raspado de juntas existentes y aplicación de lechada con aditivo de mejora de agarre</t>
  </si>
  <si>
    <t>M2 Suministro y colocación de falso techo de escayola lisa</t>
  </si>
  <si>
    <t>M2 Suministro e instalación de falso techo de pladur, incluída perfilería</t>
  </si>
  <si>
    <t>M2 Suministro e instalación de falso techo de pladur hidrófugo, incluída perfilería</t>
  </si>
  <si>
    <t>M2 Suministro e instalación de falso techo registrable, incluída perfilería</t>
  </si>
  <si>
    <t>ML Suministro y colocación de moldura de escayola lisa &lt; 8cm</t>
  </si>
  <si>
    <t>ML Suministro y colocación de moldura de escayola con dibujo &lt;8cm</t>
  </si>
  <si>
    <t>ML Suministro y colocación de cornisa lisa de escayola &lt;14cm</t>
  </si>
  <si>
    <t>ML Suministro y colocación de cornisa con dibujo de escayola &lt;14cm</t>
  </si>
  <si>
    <t>ML Ejecución de tabica de escayola</t>
  </si>
  <si>
    <t>ML Ejecución de cortinero  de escayola</t>
  </si>
  <si>
    <t>ML Ejecución de candileja</t>
  </si>
  <si>
    <t>ML Ejecución de fosa de escayola de 5x5</t>
  </si>
  <si>
    <t>ML Ejecución de balda de escayola para murales</t>
  </si>
  <si>
    <t>ML Ejecución de balda de pladur para murales</t>
  </si>
  <si>
    <t>UD Sustitución de bajante hasta 3,00mts e injerto de PVC de 110 mm,colocada con abrazaderas metálicas,instalada, incluso con p.p. de piezas especiales de PVC</t>
  </si>
  <si>
    <t>UD Sustitución de bajante hasta 3,00mts e injerto de PVC de 125 mm,colocada con abrazaderas metálicas,instalada, incluso con p.p. de piezas especiales de PVC</t>
  </si>
  <si>
    <t>UD Sustitución de ascendentes generales hasta 35mm de diámetro y para una longitud máxima de 3 metros, incluido T de derivación, i/ p.p. de piezas especiales, anclajes, soldadura y medios auxiliares</t>
  </si>
  <si>
    <t>UD Sustitución de ascendentes generales de más de 35mm de diámetro y para una longitud máxima de 3 metros, incluido T de derivación, i/ p.p. de piezas especiales, anclajes, soldadura y medios auxiliares</t>
  </si>
  <si>
    <t>ML Suministro e instalación de canalón o bajante vertical P.V.C. sin incluir medios auxiliares</t>
  </si>
  <si>
    <t>ML Suministro e instalación de canalón o bajante vertical de aluminio lacado  sin incluir medios auxiliares</t>
  </si>
  <si>
    <t>ML Tubería de cobre o polietileno de 15 mm de diámetro,en instalaciones interiores de viviendas y locales comerciales, para agua fría y caliente, con p.p. de piezas especiales de cobre, instalada y funcionando, incluso con protección de tubo corrugado de PVC</t>
  </si>
  <si>
    <t>ML Tubería de cobre o polietileno de 18 mm. de diámetro en instalaciones interiores de viviendas y locales comerciales, para agua fría y caliente, con p.p. de piezas especiales de cobre, instalada y funcionando, incluso con protección de tubo corrugado de PVC</t>
  </si>
  <si>
    <t>ML Tubería de cobre o polietileno  de 22 mm. de diámetro  en instalaciones interiores de viviendas y locales comerciales, para agua fría y caliente, con p.p. de piezas especiales de cobre, instalada y funcionando, incluso con protección de tubo corrugado de PVC</t>
  </si>
  <si>
    <t>ML Forrado de instalación de agua fría y caliente realizada mediante tubos de cobre con coquilla aislante tipo Climaflex, i/ p.p. de medios auxiliares</t>
  </si>
  <si>
    <t>UD Modificación de posición del puente del contador de agua, instalando llave de corte de esfera, i/ p.p. de medios auxiliares</t>
  </si>
  <si>
    <t>UD Modificación de posición del puente del contador de agua intercalando válvula de corte de esfera, válvula reductora de presión y manómetro, i/ p.p. de medios auxiliares. Se reutiliza el mismo contador</t>
  </si>
  <si>
    <t>UD Punto de aguafría/caliente en tuberías de cobre y para la red de desagüe en tuberías de PVC, con los diámetros necesarios, con bote sifónico de PVC, incluso con p.p. de conexión a la red general, terminada, sin aparatos sanitarios (hasta 3 puntos de agua)</t>
  </si>
  <si>
    <t>UD Punto de aguafría/caliente en tuberías de cobre y para la red de desagüe en tuberías de PVC, con los diámetros necesarios, con bote sifónico de PVC, incluso con p.p. de conexión a la red general, terminada y sin aparatos sanitarios (Precio por punto para más de 3 puntos de agua)</t>
  </si>
  <si>
    <t>UD Condena de punto de instalación de fontanería</t>
  </si>
  <si>
    <t>UD Instalación de llave de corte de agua fría o caliente de corte general o cuarto húmedo</t>
  </si>
  <si>
    <t>UD Suministro de bomba-trituradora modelo Sanitrit de SFA, para una distancia de evacuación horizontal máxima de 20 m, alimentación eléctrica monofásica 230V/50Hz. No se incluye el montaje</t>
  </si>
  <si>
    <t>UD Instalación de desagüe para bomba-trituradora (tipo Sanitrit) en tubo de PVC de 40 mm. i/ montaje de la bomba-trituradora con p.p. de medios auxiliares</t>
  </si>
  <si>
    <t>UD Instalación de desagüe para máquina de aire acondicionado</t>
  </si>
  <si>
    <t>UD Montaje de aparato  sanitario y griferia incluido colocaión de llaves de corte individuales cromadas.</t>
  </si>
  <si>
    <t>UD Montaje de mueble de baño para lavabo, i/ p.p. de medios auxiliares. (Mueble no incluido)</t>
  </si>
  <si>
    <t>UD Montaje de grifería de sanitario por punto</t>
  </si>
  <si>
    <t>UD Montaje de bañera incluido grifería</t>
  </si>
  <si>
    <t>UD Montaje de plato de ducha incluido grifería. (no incluído columnas de hidromasaje)</t>
  </si>
  <si>
    <t>UD Montaje de columna de hidromasaje, i/ pequeño material de montaje. Sin incluir suministro</t>
  </si>
  <si>
    <t>UD Instalación de mampara</t>
  </si>
  <si>
    <t>UD Suministro y colocación de bastidor para inodoro suspendido modelo DUPLO WC de Roca, con cisterna de doble descarga 3/6 litros y accesorios de instalación, profundidad mínima de 135 mm, codo de evacuación a 90º y placa de accionamiento 3/6 litros de 320x170x12</t>
  </si>
  <si>
    <t>UD Instalación de calentador atmosférico, incluso montaje de  salida de gases realizada en tubo de acero esmaltado (L &lt; 1.00 m), i/ p.p. de medios auxiliares</t>
  </si>
  <si>
    <t>UD Instalación de termo nuevo de 30L-50L</t>
  </si>
  <si>
    <t>UD Instalación de termo nuevo de 100L</t>
  </si>
  <si>
    <t>UD Instalación de termo nuevo de 200L</t>
  </si>
  <si>
    <t>UD De modificación de toma de caldera o calentador  de AF o AC o desagüe o Ida calefacción o retorno calefacción</t>
  </si>
  <si>
    <t>UD Suministro de Termo eléctrico vertical o horizontal de 30 l. modelo GP-30 de Thermor o similar, i/lámpara de control, termómetro, termostato exterior regulable de 35º a 60º, válvula de seguridad, sin incluir instalación ni conexión eléctrica</t>
  </si>
  <si>
    <t>80-130€</t>
  </si>
  <si>
    <t>UD Suministro de Termo eléctrico vertical de100 l. modelo GP-75 de Thermor o similar, i/lámpara de control, termómetro, termostato exterior regulable de 35º a 60º, válvula de seguridad, sin incluir instalación ni conexión eléctrica</t>
  </si>
  <si>
    <t>116-199€</t>
  </si>
  <si>
    <t>UD de instalación de ventilación mediante tubo de aluminio flexible conexionado al shunt incluso rejilla interior, totalmente instalado</t>
  </si>
  <si>
    <t>UD de instalación de ventilación forzada mediante tubo de aluminio flexible conexionado al shunt incluso motor de extracción, rejilla interior, p.p de instalación electrica totalmente instalado</t>
  </si>
  <si>
    <t>UD Instalación de Caldera .</t>
  </si>
  <si>
    <t>UD De modificación de toma de caldera o calentador  de AF o AC o desagüe o ida calefacción o retorno calefacción</t>
  </si>
  <si>
    <t>UD Instalación de salida de gases desde caldera a exterior</t>
  </si>
  <si>
    <t>UD Punto de instalación de calefacción, en tubo de cobre o polietileno del diámetro necesario en ida y retorno y forrado de las tuberías mediante tubo de PVC, i/ p.p. de medios auxiliares. (Precio por punto para instalaciones de menos de 6 elementos)</t>
  </si>
  <si>
    <t>UD Punto de instalación de calefacción, en tubo de cobre o polietileno del diámetro necesario en ida y retorno y forrado de las tuberías mediante tubo de PVC, i/ p.p. de medios auxiliares. (Precio por punto para instalación de más de 6 elementos)</t>
  </si>
  <si>
    <t>UD Retranqueo de radiador más de 2m, con p.p. de tubería de cobre o polietileno</t>
  </si>
  <si>
    <t>UD Retranqueo de radiador menos de 2m, con p.p. de tubería de cobre o polietileno</t>
  </si>
  <si>
    <t>UD Instalación de ramales de conexión entre radiadores</t>
  </si>
  <si>
    <t>UD Desmontaje de radiador</t>
  </si>
  <si>
    <t>UD Montaje de radiador</t>
  </si>
  <si>
    <t>UD Suministro e instalación de  llave de corte  y detentor de radiador</t>
  </si>
  <si>
    <t>UD Suministro e instalación de elemento radiador aluminio inyectado nuevo, equipado de p.p de llaves, tapones, detentores y purgadores incluso p.p de montaje: reducciones, llaves, tapones, detentores y purgadores; y p.p de montaje: reducciones, juntas y soportes</t>
  </si>
  <si>
    <t>UD Condenar radiador, taponando tomas</t>
  </si>
  <si>
    <t>UD Suministro e instalación de llave termostáticas en radiador</t>
  </si>
  <si>
    <t>UD Suministro de radiador-toallero de aluminio inyectado de dimensiones h=75 cm, a=50 cm, g=3 cm, potencia 363 kcal/h, probado a 9 bar de presión, acabado en doble capa, una de imprimación y la segunda de polvo epoxi color blanco-marfil o cromo, equipado de p.p. llave monogiro de 3/8", tapones, detentores y purgador, así como p.p. de accesorios de montaje: reducciones, juntas y soportes</t>
  </si>
  <si>
    <t>82-152€</t>
  </si>
  <si>
    <t>UD Suministro de radiador-toallero de aluminio inyectado de dimensiones h=150 cm, a=50 cm, g=3 cm, potencia 363 kcal/h, probado a 9 bar de presión, acabado en doble capa, una de imprimación y la segunda de polvo epoxi color blanco-marfil o cromo, equipado de p.p. llave monogiro de 3/8", tapones, detentores y purgador, así como p.p. de accesorios de montaje: reducciones, juntas y soportes</t>
  </si>
  <si>
    <t>102-192€</t>
  </si>
  <si>
    <t>UD de suministro e instalación de llave de vaciado</t>
  </si>
  <si>
    <t>UD de suministro de termostato ambiente</t>
  </si>
  <si>
    <t>30-164€</t>
  </si>
  <si>
    <t>UD Legalización de la instalación de calefacción</t>
  </si>
  <si>
    <t>UD Sustitución de línea de derivación individual de 3 x 10 mm2 + 1,5 mm2 de antigua tarifa nocturna en su caso necesaria. Incluye cable desde embarrado a C.G.P. de vivienda y salto de 1 planta de altura.</t>
  </si>
  <si>
    <t>UD Sustitución de línea de derivación individual de 3 x 16 mm2 + 1,5 mm2 de antigua tarifa nocturna en su caso necesaria. Incluye cable desde embarrado a C.G.P. de vivienda y salto de 1 planta de altura.</t>
  </si>
  <si>
    <t>UD Sustitución de línea de derivación individual de 3 x 25 mm2 + 1,5 mm2 de antigua tarifa nocturna en su caso necesaria. Incluye cable desde embarrado a C.G.P. de vivienda y salto de 1 planta de altura.</t>
  </si>
  <si>
    <t>Suplemento por 1 planta de altura adicional para sustitución de derivación individual de 3 x 10 mm2 + 1,5 mm2 de antigua tarifa nocturna en su caso necesaria. Incluye cable.</t>
  </si>
  <si>
    <t>Suplemento por 1 planta de altura adicional para sustitución de derivación individual de 3 x 16 mm2 + 1,5 mm2 de antigua tarifa nocturna en su caso necesaria. Incluye cable.</t>
  </si>
  <si>
    <t>Suplemento por 1 planta de altura adicional para sustitución de derivación individual de 3 x 25 mm2 + 1,5 mm2 de antigua tarifa nocturna en su caso necesaria. Incluye cable.</t>
  </si>
  <si>
    <t>UD Cuadro protección electrificación baja 3 kW, formado por caja ABB, de doble aislamiento de empotrar, con puerta de 12 elementos, perfil omega, embarrado de protección, interruptor automático diferencial ABB de 2x25 A. 30 mA. y 3 PIAS ABB (1+N) de 10, 16 y 20A. Instalado, incluyendo cableado y conexionado</t>
  </si>
  <si>
    <t>UD Cuadro protección electrificación media 5.7 kW, formado por caja ABB, de doble aislamiento de empotrar, con puerta de 16 elementos con hueco para ICP, perfil omega, embarrado de protección, interruptor automático diferencial ABB de hasta 2x40 A. 30 mA. , interruptor de corte general de hasta 40 A , y 5 interruptores magneto-térmicos bipolares ABB (1+N) de 10, 16, 20 y 25 A. Instalado, incluyendo cableado y conexionado</t>
  </si>
  <si>
    <t>UD Cuadro protección electrificación media 5.7 kW, formado por caja ABB, de doble aislamiento de empotrar, con puerta de 24 elementos con hueco para ICP , perfil omega, embarrado de protección, interruptor automático diferencial ABB de hasta 2x40 A. 30 mA. , interruptor de corte general de hasta 40 A , 2 diferenciales y 10 interruptores magneto-térmicos bipolares ABB (1+N) de 10, 16, 20 y 25 A. Instalado, incluyendo cableado y conexionado</t>
  </si>
  <si>
    <t>UD Base de ENCHUFE SENCILLO Simón 31 ó similar con toma de tierra lateral realizada con tubo PVC corrugado de M 20/gp5 y conductor de cable flexible  de 2,5 mm2 de Cu., y aislamiento VV 750 V libre de halógenos , en sistema monofásico con toma de tierra (fase, neutro y tierra), incluyendo caja de registro, caja de mecanismo universal con tornillos, base de enchufe sistema schuko 10-16 A. (II+t.) Simón serie 31, instalada</t>
  </si>
  <si>
    <t>Base de ENCHUFE DE FUERZA 20A Simón 31 ó similar con toma de tierra lateral realizada con tubo PVC corrugado de M 20/gp5 y  conductor de cable flexible  de 4 mm2 de Cu., y aislamiento VV 750 V libre de halógenos , en sistema monofásico con toma de tierra (fase, neutro y tierra), incluyendo caja de registro, caja de mecanismo universal con tornillos, base de enchufe sistema schuko 20 A. (II+t.) Simón serie 48, instalada.</t>
  </si>
  <si>
    <t>UD.Base de ENCHUFE DE FUERZA 25A Simón 31 ó similar con toma de tierra lateral realizada con tubo PVC corrugado de M 20/gp5 y conductor  de cable flexible  de 6 mm2 de Cu., y aislamiento VV 750 V libre de halógenos , en sistema monofásico con toma de tierra (fase, neutro y tierra), incluyendo caja de registro, caja de mecanismo universal con tornillos, base de enchufe sistema schuko 25 A. (II+t.) Simón serie 48, instalada</t>
  </si>
  <si>
    <t>UD Base de ENCHUFE CONMUTADO Simón 31 o similar con toma de tierra lateral realizada con tubo PVC  corrugado de M 20/gp5 y conductor cable flexible de 2,5mm2 y aislamiento VV 750 V libre de halógenos, en sistema monofásico con toma de tierra (fase, neutro y tierra), incluyendo caja de registro, caja de mecanismo universal con tornillos, base de enchufe sistema schuko 10-16A y llave sencilla instalada</t>
  </si>
  <si>
    <t>UD Punto de luz sencillo realizado con tubo PVC corrugado de M 20/gp5 y conductor de cable flexible  de 1,5 mm2 de Cu., y aislamiento VV 750 V libre de halógenos , incluyendo caja de registro, caja de mecanismo universal con tornillos, interruptor unipolar Simón serie 31, instalado.</t>
  </si>
  <si>
    <t>UD Punto conmutado sencillo realizado con tubo PVC corrugado de M 20/gp5 y conductor de cable flexible  de 2,5 mm2 de Cu., y aislamiento VV 750 V libre de halógenos , incluyendo caja de registro, cajas de mecanismo universal con tornillos, conmutadores Simón serie 31 o similar , instalado.</t>
  </si>
  <si>
    <t>UD Punto cruzamiento realizado con tubo PVC corrugado de M 20/gp5 y conductor de cable flexible  de 1,5 mm2 de Cu., y aislamiento VV 750 V libre de halógenos ,incluyendo caja de registro, cajas de mecanismo universal con tornillos, conmutadores y cruzamiento Simón serie 31 o similar, instalado.</t>
  </si>
  <si>
    <t>UD Punto pulsador timbre completo realizado con tubo PVC corrugado de M 20/gp5 y conductor de cable flexible  de 1,5 mm2 de Cu, y aislamiento VV 750 V libre de halógenos, incluyendo caja de registro, cajas de mecanismo universal con tornillos, pulsador con marco Simón serie 31 o similar y zumbador, instalado</t>
  </si>
  <si>
    <t>UD Punto pulsador timbre realizado con tubo PVC corrugado de D=13/gp 5, conductor de cable flexible  de 1,5 mm2 de Cu., y aislamiento VV 750 V libre de halógenos, incluyendo caja de registro y pulsador con marco Simón serie 31 o similar</t>
  </si>
  <si>
    <t>UD Toma de teléfono o TV realizada con tubo PVC corrugado de M 20/gp5 y guía de alambre galvanizado, para instalación de línea telefónica, incluyendo caja de registro, caja de mecanismo universal con tornillos, toma de teléfono o TV con marco Simón serie 31, instalada.</t>
  </si>
  <si>
    <t>UD Derivador de señal TV 2D. Punto de distribución para RTV terrenal y satélite compuesto por derivador de 2 direcciones para FI, UHF y VHF, totalmente instalado</t>
  </si>
  <si>
    <t>UD Toma ordenador simple RJ45 categoría 6 apantallada incluso cableado, realizada con canalización de tubo PVC corrugado de M 20/gp5, incluso mecanismo empotrado, placa, marco y caja mecanismo, montado e instalado</t>
  </si>
  <si>
    <t>UD Interruptor de persiana realizado con tubo PVC corrugado M 20/gp5 y conductor  de cable flexible  de 1,5 mm2 de Cu, y aislamiento VV 750 V libre de halógenos, incluyendo caja de registro, caja de mecanismo universal con tornillos, interruptor de persiana Simón 31, instalado</t>
  </si>
  <si>
    <t>UD Salida de hilos realizada con tubo PVC corrugado de M 20/gp5 y guia para cableado, sin incluir éste, incluyendo caja de registro, caja de mecanismo universal con tornillos y mecanismo para salida de hilos Simón serie 31, instalada.</t>
  </si>
  <si>
    <t>UD Termostato de ambiente modelo TM-1 de Roca o similar para instalaciones de calefacción, campo de regulación 5-30ºC, realizado en tubo de PVC corrugado de M 20/gp5 y conductor de cobre unipolar aislados para una tensión nominal de 750 V. y sección 1,5 mm2, caja registro, totalmente instalado</t>
  </si>
  <si>
    <t>UD Suministro y colocación de teléfono interior para portero automático, marca TEGUI o similar, con auricular, micrófono y pulsador de apertura remoto, conectado a red existente. Probado y funcionando</t>
  </si>
  <si>
    <t>UD Boletín de instalación eléctrica de vivienda firmado por instalador competente y sellado por el Ministerio de Industria</t>
  </si>
  <si>
    <t>UD Boletín de instalación eléctrica de local firmado por instalador competente y sellado por el Ministerio de Industria</t>
  </si>
  <si>
    <t>UD Suministro y recibido de caja de cuadro general de protección y mandos</t>
  </si>
  <si>
    <t>UD Revisión de cuadro general de protección</t>
  </si>
  <si>
    <t>UD Sustitución de interruptor magnetotérmico 2*10 hasta 2*40 A</t>
  </si>
  <si>
    <t>UD Sustitución de diferencial 2*25 y 2*40 A de 30 mA</t>
  </si>
  <si>
    <t>UD Sustitución de circuito en 1.5 o 2.5 mm2. No incluye apertura ni tapado de rozas</t>
  </si>
  <si>
    <t>UD Sustitución de circuito en 4 mm2. No incluye apertura ni tapado de rozas</t>
  </si>
  <si>
    <t>UD Sustitución de circuito en  6 mm2. No incluye apertura ni tapado de rozas</t>
  </si>
  <si>
    <t>UD Sustitución de derivación en 1,5 o 2,5mm desde caja de registro al punto de luz  o base de enchufe. No incluye apertura ni tapado de rozas</t>
  </si>
  <si>
    <t>UD Sustitución de derivación en 4 o 6 mm desde caja de registro al punto o base de enchufe. No incluye apertura ni tapado de rozas</t>
  </si>
  <si>
    <t>UD Prolongación de cables para lámparas conectadas al mismo punto de luz realizada con tubo PVC corrugado de M 20/gp5 y conductor rígido de 1,5 mm2 de Cu, y aislamiento VV 750 V, incluyendo conexionado, instalado</t>
  </si>
  <si>
    <t>UD Sustitución mecanismo existente para base de enchufe sencillo  por otro mecanismo Simón serie 31, instalado. No se incluye la línea eléctrica</t>
  </si>
  <si>
    <t>UD Sustitución mecanismo existente para base de enchufe de 20 A por otro mecanismo Simón serie 31, instalado. No se incluye la línea eléctrica</t>
  </si>
  <si>
    <t>UD Sustitución mecanismo existente para base de enchufe de 25 A por otro mecanismo Simón serie 31, instalado. No se incluye la línea eléctrica</t>
  </si>
  <si>
    <t>UD Sustitución mecanismo existente para punto de luz sencillo o base de enchufe 10-16 A por otro mecanismo Simón serie 31, instalado. No se incluye la línea eléctrica</t>
  </si>
  <si>
    <t>Sustitución mecanismo existente para punto de luz doble sencillo por otro mecanismo Simón serie 31, instalado. No se incluye la línea eléctrica.</t>
  </si>
  <si>
    <t>UD Sustitución mecanismo existente para punto de luz conmutado por otro mecanismo Simón serie 31, instalado. No se incluye la línea eléctrica</t>
  </si>
  <si>
    <t>UD Sustitución mecanismo existente para punto de luz doble conmutado por otro mecanismo Simón serie 31, instalado. No se incluye la línea eléctrica</t>
  </si>
  <si>
    <t>UD Sustitución mecanismo existente para punto de luz de cruzamiento por otro mecanismo Simón serie 31, instalado. No se incluye la línea eléctrica</t>
  </si>
  <si>
    <t>UD Sustitución de toma de teléfono o TV existente por un mecanismo nuevo de toma de teléfono o TV con marco Simón serie 31, instalada. No se incluyen líneas</t>
  </si>
  <si>
    <t>UD Desmontaje y montaje de mecanismos existentes de base de enchufe y punto de luz</t>
  </si>
  <si>
    <t>UD Montaje de aparatos de iluminación incluso conexionado, y p.p. de medios auxiliares. No se incluyen las líneas eléctricas hasta el aparato</t>
  </si>
  <si>
    <t>UD Montaje de lámparas halógenas, sin incluir material, incluso apertura de huecos en falso techo de escayola, conexionado, y p.p. de medios auxiliares. No se incluyen las líneas eléctricas hasta el aparato.</t>
  </si>
  <si>
    <t>UD Suministro y colocación de Halógeno  para empotrar, incluido replanteo y conexionado. Precio estimado de material 21 €</t>
  </si>
  <si>
    <t>ML Suministro e instalación de tira led</t>
  </si>
  <si>
    <t>UD Suministro e instalación de DownLight para empotrar, incluido replanteo y conexionado. Precio estimado de material 50€</t>
  </si>
  <si>
    <t>UD Cambio de situación de contador de gas, con nueva instalación</t>
  </si>
  <si>
    <t>UD Cambio de situación de contador de gas y carcasa, con nueva instalación</t>
  </si>
  <si>
    <t>UD Instalación interior de gas en tubo de cobre del diámetro necesario, para suministrar a un punto ya sea  caldera, calentador  o una cocina, conexionada desde la red de acero  realizada con tubería aérea, i/p. p. de accesorios y abrazaderas, instalada</t>
  </si>
  <si>
    <t>UD Instalación interior de gas en tubo de cobre del diámetro necesario, para suministrar a dos puntos ,  caldera y  cocina, conexionada desde la red de acero ealizada con tubería aérea, i/p. p. de accesorios y abrazaderas, instalada con dictamen de instalador autorizado</t>
  </si>
  <si>
    <t>UD Instalación de salida de humos desde campana extractora a exterior</t>
  </si>
  <si>
    <t>UD Rejilla de ventilación de 15x15 cm. esmaltada en blanco, colocada en muros de fachada a una cara, i/apertura de hueco, recibida con mortero de cemento CEM II/A-P 32,5R y arena de río 1/6 y remates, s/NTE-ISV, totalmente instalada</t>
  </si>
  <si>
    <t>UD Certificado de instalación de gas por instalador autorizado</t>
  </si>
  <si>
    <t>M2 Suministro de madera, damas o tablilla, medidas estándar (tablilla hasta 30x6cm); Roble, elondo, jatoba, eucalipto rojo y blanco, castaño, pino fresno, pino, haya, merbau y sucupira. Precio por m2</t>
  </si>
  <si>
    <t>M2 Colocación de madera (sólo mano de obra). De 1 a 3 m2. Precio por m2</t>
  </si>
  <si>
    <t>M2 Colocación de madera (sólo mano de obra). De 3 a 10 m2. Precio por m2</t>
  </si>
  <si>
    <t>M2 Colocación de madera (sólo mano de obra). A partir de 10 m2. Precio por m2</t>
  </si>
  <si>
    <t>ML Suplemento por colocación de faja perimetral</t>
  </si>
  <si>
    <t>M2 Suministro de tarima tradicional hasta 18mm de espesor de pino nuevo, roble, jatoba, elondo, ipé, cumaru y merbau</t>
  </si>
  <si>
    <t>M2 Suministro de tarima tradicional de 19mm hasta 22mm de espesor de pino nuevo, roble, jatoba, elondo, ipé, cumaru y merbau</t>
  </si>
  <si>
    <t>M2 Colocación de tarima tradicional para superficies menores a 10m2</t>
  </si>
  <si>
    <t>M2 Colocación de tarima tradicional para superficies mayores  a 10m2</t>
  </si>
  <si>
    <t>ML Suministro e instalación de rastrel</t>
  </si>
  <si>
    <t>M2 Instalación de tarima flotante y laminados para superficies menores de 10m2 (sólo mano de obra)</t>
  </si>
  <si>
    <t>M2 Instalación de tarima flotante y laminados para superficies mayores de 10m2  (sólo mano de obra)</t>
  </si>
  <si>
    <t>UD Acuchillado, lijado y tres manos de barniz de urea formol sobre parquet o tarima,  medida la superficie ejecutada. Superficies menores a 20 M2</t>
  </si>
  <si>
    <t>M2 Lijado y barnizado de parquet o tarima, con 3 manos barniz Uréa-Formol. Superficies superiores a 20,00m2</t>
  </si>
  <si>
    <t>M2 Acuchillado, lijado y dos manos de barniz de urea formol y una mano de poliuretano sobre parquet o tarima,  medida la superficie ejecutada. Superficies superiores a 20 M2</t>
  </si>
  <si>
    <t>M2 Acuchillado, lijado y tres manos de barniz de poliuretano al agua sobre parquet o tarima,medida la superficie ejecutada. Superficies superiores a 20 M2</t>
  </si>
  <si>
    <t>M2 Acuchillado, lijado y tres manos de barniz de poliuretano al agua  de secado rápido con UVA sobre parquet o tarima, , medida la superficie ejecutada. Superficies superiores a 20 M2</t>
  </si>
  <si>
    <t>M2 Aplicación de pasta niveladora para solados, ejecutada en dos manos, para absorber diferencias de hasta 4mm, sobre soporte preparado ( sin incluir la preparación del mismo )</t>
  </si>
  <si>
    <t>M2 Emplastecido de juntas entre tablillas, a llana</t>
  </si>
  <si>
    <t>M2 Lijado de terrazo, como preparación de soporte</t>
  </si>
  <si>
    <t>UD Pletina plana de acero inoxidable, latón o chapadas, colocada adherida o atornillada en el encuentro entre suelos de distinta naturaleza, i/ p.p. de cortes y medios auxiliares</t>
  </si>
  <si>
    <t>ML Desmontaje y posterior montaje de rodapié existente</t>
  </si>
  <si>
    <t>ML Barnizado de rodapié con barniz Poliuretano, previa preparación</t>
  </si>
  <si>
    <t>ML Suministro y colocación de rodapié madera DM, Roble, sapelly o plastificado  de 7 cm</t>
  </si>
  <si>
    <t>ML Suministro y colocación de rodapié madera DM, Roble, sapelly o plastificado  de 9 cm</t>
  </si>
  <si>
    <t>ML Suministro y colocación de rodapié madera DM, Roble, sapelly o plastificado  de 11 cm</t>
  </si>
  <si>
    <t>M2 Lijado y barnizado de peldaño con barniz Uréa-Formol</t>
  </si>
  <si>
    <t>UD Lijado y barnizado de peldaño con barniz de Poliuretano</t>
  </si>
  <si>
    <t>UD Cepillado de puerta de paso en estancias</t>
  </si>
  <si>
    <t>UD Cepillado de puerta blindada</t>
  </si>
  <si>
    <t>10.</t>
  </si>
  <si>
    <t>UD Puerta de paso ciega normalizada, con tablero recto de roble o pino  barnizado, incluso precerco de pino 70x35 mm, galce o cerco visto de roble macizo 70x30 mm, jambas o tapajuntas lisos de DM rechapados de roble 70x10 mm en ambas caras, y herrajes de colgar, de cierre y manivelas de latón, montada, incluso p.p. de medios auxiliares</t>
  </si>
  <si>
    <t>UDPuerta de paso ciega normalizada, modelo PROVENZAL  con tablero recto de roble  o pino barnizado, incluso precerco de pino 70x35 mm, galce o cerco visto de roble macizo 70x30 mm, jambas o tapajuntas lisos de DM rechapados de roble 70x10 mm en ambas caras, y herrajes de colgar, de cierre y manivelas de latón, montada, incluso p.p. de medios auxiliares</t>
  </si>
  <si>
    <t>UD Puerta de paso ciega normalizada, modelo MARA, con tablero recto de roble o pino   barnizado, incluso precerco de pino 70x35 mm, galce o cerco visto de roble macizo 70x30 mm, jambas o tapajuntas lisos de DM rechapados de roble 70x10 mm en ambas caras, y herrajes de colgar, de cierre y manivelas de latón, montada, incluso p.p. de medios auxiliares</t>
  </si>
  <si>
    <t>UD Suministro y colocación de jambas o tapajuntas de  roble o pino de 70 mm de anchura y altura de puerta estándar, fijada mediante clavos a cerco, i/ p.p. de medios auxiliares</t>
  </si>
  <si>
    <t>UD Suministro y colocación de galce o cerco y jambas o tapajuntas  para puerta de roble  o pino de de anchura y altura de puerta estándar, fijada mediante clavos a cerco, i/ p.p. de medios auxiliares</t>
  </si>
  <si>
    <t>UD Puerta de paso ciega normalizada, con tablero recto de sapelly barnizado, incluso precerco de pino 70x35 mm, galce o cerco visto de roble macizo 70x30 mm,  jambas o tapajuntas lisos de DM rechapados de roble 70x10 mm en ambas caras, y herrajes de colgar, de cierre y manivelas de latón, montada, incluso p.p. de medios auxiliares</t>
  </si>
  <si>
    <t>UD Puerta de paso ciega normalizada, modelo PROVENZAL  con tablero recto de sapelly barnizado, incluso precerco de pino 70x35 mm., galce o cerco visto de roble macizo 70x30 mm., jambas o tapajuntas lisos de DM rechapados de roble 70x10 mm. en ambas caras, y herrajes de colgar, de cierre y manivelas de latón, montada, incluso p.p. de medios auxiliares.</t>
  </si>
  <si>
    <t>UD Puerta de paso ciega normalizada, modelo MARA, con tablero recto de sapelly barnizado, incluso precerco de pino 70x35 mm,  galce o cerco visto de roble macizo 70x30 mm, jambas o tapajuntas lisos de DM rechapados de roble 70x10 mm en ambas caras, y herrajes de colgar, de cierre y manivelas de latón, montada, incluso p.p. de medios auxiliares</t>
  </si>
  <si>
    <t>UD Suministro y colocación de jambas o tapajuntas  de sapelly ó pino  de 70 mm de anchura y altura de puerta estándar, fijada mediante clavos a cerco, i/ p.p. de medios auxiliares</t>
  </si>
  <si>
    <t>UD Suministro y colocación de  galce o cerco y jambas o tapajuntas para puerta de pino o sapelly de de anchura y altura de puerta estándar, fijada mediante clavos a cerco, i/ p.p. de medios auxiliares</t>
  </si>
  <si>
    <t>UD Puerta de paso ciega normalizada, con tablero recto de cerezo o haya o nogal  barnizado, incluso precerco de pino 70x35 mm, galce o cerco visto de roble macizo 70x30 mm, jambas o tapajuntas lisos de DM rechapados de roble 70x10 mm en ambas caras, y herrajes de colgar, de cierre y manivelas de latón, montada, incluso p.p. de medios auxiliares</t>
  </si>
  <si>
    <t>UD Puerta de paso ciega normalizada, modelo PROVENZAL  con tablero recto de cerezo o haya o nogal  barnizado, incluso precerco de pino 70x35 mm, galce o cerco visto de roble macizo 70x30 mm, jambas o tapajuntas lisos de DM rechapados de roble 70x10 mm en ambas caras, y herrajes de colgar, de cierre y manivelas de latón, montada, incluso p.p. de medios auxiliares</t>
  </si>
  <si>
    <t>UD Puerta de paso ciega normalizada, modelo MARA, con tablero recto de cerezo o haya o roble barnizado, incluso precerco de pino 70x35 mm, galce o cerco visto de roble macizo 70x30 mm, jambas o tapajuntas lisos de DM rechapados de roble 70x10 mm en ambas caras, y herrajes de colgar, de cierre y manivelas de latón, montada, incluso p.p. de medios auxiliares</t>
  </si>
  <si>
    <t>UD Suministro y colocación de jambas o tapajuntas  de cerezo o haya de 70 mm de anchura y altura de puerta estándar, fijada mediante clavos a cerco, i/ p.p. de medios auxiliares</t>
  </si>
  <si>
    <t>UD Suministro y colocación de galce o cerco y jambas o tapajuntas para puerta de cerezo o haya de anchura y altura de puerta estándar, fijada mediante clavos a cerco, i/ p.p. de medios auxiliares</t>
  </si>
  <si>
    <t>UD Puerta de paso ciega normalizada, con tablero recto lacada , incluso precerco de pino 70x35 mm, galce o cerco visto de roble macizo 70x30 mm, jambas o tapajuntas lisos de DM rechapados de roble 70x10 mm en ambas caras, y herrajes de colgar, de cierre y manivelas de latón, montada, incluso p.p. de medios auxiliares</t>
  </si>
  <si>
    <t>UD Puerta de paso ciega normalizada, modelo PROVENZAL  con tablero recto lacada, incluso precerco de pino 70x35 mm, galce o cerco visto de roble macizo 70x30 mm, jambas o tapajuntas lisos de DM rechapados de roble 70x10 mm en ambas caras, y herrajes de colgar, de cierre y manivelas de latón, montada, incluso p.p. de medios auxiliares</t>
  </si>
  <si>
    <t>UD Puerta de paso ciega normalizada, modelo MARA, con tablero recto lacada incluso precerco de pino 70x35 mm, galce o cerco visto de roble macizo 70x30 mm, jambas o tapajuntas lisos de DM rechapados de roble 70x10 mm en ambas caras, y herrajes de colgar, de cierre y manivelas de latón, montada, incluso p.p. de medios auxiliares</t>
  </si>
  <si>
    <t>UD Suministro y colocación de jambas o tapajuntas lacadas de 70 mm de anchura y altura de puerta estándar, fijada mediante clavos a cerco, i/ p.p. de medios auxiliares</t>
  </si>
  <si>
    <t>UD Suministro y colocación de galce o cerco y jambas o tapajuntas para lacada de anchura y altura de puerta estándar, fijada mediante clavos a cerco, i/ p.p. de medios auxiliares</t>
  </si>
  <si>
    <t>UD Puerta de entrada blindada normalizada, con tablero blindado de roble, barnizada, incluso precerco de pino 110x35 mm, galce o cerco visto macizo de roble 110x30 mm, tapajuntas lisos macizos de DM rechapado en roble 70x10 mm. en ambas caras, bisagras de seguridad largas, cerradura de seguridad Ezcurra con 16 puntos de anclaje, tirador labrado y mirilla de latón gran angular, montada, incluso con p.p. de medios auxiliares y sin embocadura</t>
  </si>
  <si>
    <t>UD Puerta de entrada blindada normalizada , con tablero blindado de pino o  sapelly, barnizada, incluso precerco de pino 110x35 mm, galce o cerco visto macizo de pino 110x30 mm, tapajuntas lisos macizos de DM rechapado en pino 70x10 mm en ambas caras, bisagras de seguridad largas, cerradura de seguridad Ezcurra con 16 puntos de anclaje, tirador labrado y mirilla de latón gran angular, montada, incluso con p.p. de medios auxiliares y sin embocadura</t>
  </si>
  <si>
    <t>UD Puerta de entrada blindada normalizada, con tablero blindado de cerezo o haya o nogal, barnizada, incluso precerco de pino 110x35 mm, galce o cerco visto macizo de roble 110x30 mm., tapajuntas lisos macizos de DM rechapado en roble 70x10 mm en ambas caras, bisagras de seguridad largas, cerradura de seguridad Ezcurra con 16 puntos de anclaje, tirador labrado y mirilla de latón gran angular, montada, incluso con p.p. de medios auxiliares y sin embocadura</t>
  </si>
  <si>
    <t>UD Puerta de entrada blindada normalizada , con tablero blindado lacado, incluso precerco de pino 110x35 mm., galce o cerco visto macizo de roble 110x30 mm, tapajuntas lisos macizos de DM rechapado en roble 70x10 mm en ambas caras, bisagras de seguridad largas, cerradura de seguridad Ezcurra con 16 puntos de anclaje, tirador labrado y mirilla de latón gran angular, montada, incluso con p.p. de medios auxiliares y sin embocadura</t>
  </si>
  <si>
    <t>UD Puerta de entrada acorazada normalizada, acabado con tablero de roble o pino barnizado y molduras curvas a ambas caras y montada en taller sobre cerco de acero chapado de  roble o pino, con todos sus herrajes de colgar y seguridad, tapajuntas en ambas caras, tirador y mirilla, colocada en obra sobre precerco de acero (suministrado con la puerta), terminada con p.p. de medios auxiliares y sin embocadura</t>
  </si>
  <si>
    <t>UD Puerta de entrada acorazada normalizada acabado con tablero de sapelly barnizado y molduras curvas a ambas caras y montada en taller  sobre cerco de acero chapado de sapelly  con todos sus herrajes de colgar y seguridad, tapajuntas en ambas caras, tirador y mirilla, colocada en obra sobre precerco de acero (suministrado con la puerta), terminada con p.p. de medios auxiliares y sin embocadura</t>
  </si>
  <si>
    <t>UD Puerta de entrada acorazada normalizada, acabado con tablero de cerezo o haya o nogal y molduras curvas a ambos lados, montada en taller sobre cerco de acero chapado de cerezo ,haya o roble, con todos sus herrajes de colgar y seguridad, tapajuntas en ambas caras, tirador y mirilla, colocada en obra sobre precerco de acero (suministrado con la puerta), terminada con p.p. de medios auxiliares y sin embocadura</t>
  </si>
  <si>
    <t>UD Puerta de entrada acorazada normalizada,acabado con tablero  lacado y molduras curvas a ambas caras, montada en taller sobre cerco de acero chapado con tapajunats lacados , con todos sus herrajes de colgar y seguridad, tapajuntas en ambas caras, tirador y mirilla, colocada en obra sobre precerco de acero (suministrado con la puerta), terminada con p.p. de medios auxiliares y sin embocadura</t>
  </si>
  <si>
    <t>M2 Forrado interior de armario (midiendo m2 de frente de armario) realizado con tablero de melamina color madera ó lacado,incluso p.p de gradén 4 cajones en la misma terminación y p.p de  barra niquelada para colgar ropa y p.p de medios auxiliares</t>
  </si>
  <si>
    <t>M2 Suministro e instalación de puerta de armario corredera de suelo a techo completamente instalada incluso herrajes de cuelgue y cierre y p.p de medios auxiliares</t>
  </si>
  <si>
    <t>M2  Suministro e instalación de puerta de armario abatible de suelo a techo completamente instalada incluso herrajes de cuelgue y cierre y p.p de medios auxiliares</t>
  </si>
  <si>
    <t>M2 Suministro e instalación de puerta de armario abatible ,formada por hoja inferior hasta 2,40mts de altura y hoja superior de maletero completamente instalada incluso herrajes de cuelgue y cierre y p.p de medios auxiliares</t>
  </si>
  <si>
    <t>UD de puerta interior de maletero</t>
  </si>
  <si>
    <t>UD Suplemento por  puerta acristalada de cuatro vidrios,incluido suministro y colocación de los mismos</t>
  </si>
  <si>
    <t>UD Suplemento por  puerta acristalada de seis vidrios,incluido suministro y colocación de los mismos</t>
  </si>
  <si>
    <t>UD Suplementos por puerta acristalada de  1 vidrio liso mateado al ácido para puerta de paso de 1 V</t>
  </si>
  <si>
    <t>UD Suplemento por cara plafonada curva en puerta de paso. (tablero moldeado)</t>
  </si>
  <si>
    <t>UD Suplemento  por cara plafonada curva en puerta de entrada. (tablero moldeado)</t>
  </si>
  <si>
    <t>UD Panelado interior de puerta de entrada a la vivienda en roble, pino, sapelly, haya cerezo o lacado blanco, totalmente instalado incluso sustitución de cerradura de un punto</t>
  </si>
  <si>
    <t>UD Suministro de precerco de pino para puerta de paso sencilla</t>
  </si>
  <si>
    <t>UD Suministro de precerco de pino para puerta de paso doble</t>
  </si>
  <si>
    <t>UD Suministro de precerco de pino para frentes de armario</t>
  </si>
  <si>
    <t>UD Desmontaje y montaje de moldura de puerta (para alicatar) incluso regrueso</t>
  </si>
  <si>
    <t>UD Corte de parte inferior de puerta de entrada para ajustarla a la nueva cota de suelo terminado, i/ p.p. de medios auxiliares</t>
  </si>
  <si>
    <t>UD Corte de parte inferior de puerta de paso  para ajustarla a la nueva cota de suelo terminado, i/ p.p. de medios auxiliares</t>
  </si>
  <si>
    <t>UD Suministro e instalación de cassonetos para kit de puerta corredera. Totalmente montado y con p.p de medios auxiliares</t>
  </si>
  <si>
    <t>UD Incremento sobre precio de puerta de paso estandar para su instalación como puerta corredera montada sobre cerco de madera para cubrir con tabiqueria, incluso herrajes y embocaduras para puerta corredera</t>
  </si>
  <si>
    <t>UD Suministro y sustitución  de cerradura de seguridad completa de puerta de entrada a vivienda</t>
  </si>
  <si>
    <t>UD Sumimistro y sustitución de  cerradura de 3 puntos  puerta de entrada a vivienda</t>
  </si>
  <si>
    <t>UD Sustitución de cerradura especial embutida o de sobreponer No incluye materal</t>
  </si>
  <si>
    <t>UD Suministro y sustitución de  bombillo de seguridad de puerta de entrada una vez finalizada la reforma</t>
  </si>
  <si>
    <t>UD Sustitución de bombillo especial No incluye material</t>
  </si>
  <si>
    <t>11.</t>
  </si>
  <si>
    <r>
      <rPr>
        <sz val="12"/>
        <color indexed="8"/>
        <rFont val="Calibri"/>
        <family val="2"/>
      </rPr>
      <t xml:space="preserve">UD Carpintería de aluminio lacado blanco  con perfil gama fria (perfil europeo)de hasta 55mm de espesor de perfil, en ventanas practicables de 1 hoja, compuesta por cerco, hoja y herrajes de colgar y de seguridad </t>
    </r>
    <r>
      <rPr>
        <b/>
        <sz val="12"/>
        <color indexed="8"/>
        <rFont val="Calibri"/>
        <family val="2"/>
      </rPr>
      <t>sin instalar  sobre obra existente</t>
    </r>
    <r>
      <rPr>
        <sz val="12"/>
        <color indexed="8"/>
        <rFont val="Calibri"/>
        <family val="2"/>
      </rPr>
      <t>, sellado de juntas y limpieza, incluso con p.p. de medios auxiliares y doble acristalamiento tipo Climalit 4/8/4, conjunto formado por dos lunas float incoloras de 4 mm y cámara de aire deshidratado de 8 mm con perfil separador de aluminio y doble sellado perimetral, fijación sobre carpintería con acuñado mediante calzos de apoyo perimetrales y laterales y sellado en frío con silicona, incluso cortes de vidrio y colocación de junquillos.</t>
    </r>
  </si>
  <si>
    <r>
      <rPr>
        <sz val="12"/>
        <color indexed="8"/>
        <rFont val="Calibri"/>
        <family val="2"/>
      </rPr>
      <t xml:space="preserve">UD Carpintería de aluminio lacado blanco  con perfil gama fria (perfil europeo)hasta 55mm de espesor de perfil, en ventanas practicables de 2 hojas , compuesta por cerco, hoja y herrajes de colgar y de seguridad </t>
    </r>
    <r>
      <rPr>
        <b/>
        <sz val="12"/>
        <color indexed="8"/>
        <rFont val="Calibri"/>
        <family val="2"/>
      </rPr>
      <t>sin instalar sobre  obra existente</t>
    </r>
    <r>
      <rPr>
        <sz val="12"/>
        <color indexed="8"/>
        <rFont val="Calibri"/>
        <family val="2"/>
      </rPr>
      <t>, sellado de juntas y limpieza, incluso con p.p. de medios auxiliares y doble acristalamiento tipo Climalit 4/8/4, conjunto formado por dos lunas float incoloras de 4 mm y cámara de aire deshidratado de 8 mm con perfil separador de aluminio y doble sellado perimetral, fijación sobre carpintería con acuñado mediante calzos de apoyo perimetrales y laterales y sellado en frío con silicona, incluso cortes de vidrio y colocación de junquillos.</t>
    </r>
  </si>
  <si>
    <r>
      <rPr>
        <sz val="12"/>
        <color indexed="8"/>
        <rFont val="Calibri"/>
        <family val="2"/>
      </rPr>
      <t xml:space="preserve">UD Carpintería de aluminio lacado blanco con perfil gama fria (perfil europeo) hasta 60mm de espesor de perfil, en ventanas correderas  de 2 hojas, compuesta por cerco, hoja y herrajes de colgar y de seguridad </t>
    </r>
    <r>
      <rPr>
        <b/>
        <sz val="12"/>
        <color indexed="8"/>
        <rFont val="Calibri"/>
        <family val="2"/>
      </rPr>
      <t>sin instalar sobre obra existente</t>
    </r>
    <r>
      <rPr>
        <sz val="12"/>
        <color indexed="8"/>
        <rFont val="Calibri"/>
        <family val="2"/>
      </rPr>
      <t xml:space="preserve"> , sellado de juntas y limpieza, incluso con p.p. de medios auxiliares y doble acristalamiento tipo Climalit 4/8/4, conjunto formado por dos lunas float incoloras de 4 mm y cámara de aire deshidratado de 8 mm con perfil separador de aluminio y doble sellado perimetral, fijación sobre carpintería con acuñado mediante calzos de apoyo perimetrales y laterales y sellado en frío con silicona, incluso cortes de vidrio y colocación de junquillos.</t>
    </r>
  </si>
  <si>
    <r>
      <rPr>
        <sz val="12"/>
        <color indexed="8"/>
        <rFont val="Calibri"/>
        <family val="2"/>
      </rPr>
      <t xml:space="preserve">UD Carpintería de aluminio lacado blanco  con perfil gama fria (perfil europeo) hasta 55mm de espesor de perfil, en fijos, compuesto por cerco, </t>
    </r>
    <r>
      <rPr>
        <b/>
        <sz val="12"/>
        <color indexed="8"/>
        <rFont val="Calibri"/>
        <family val="2"/>
      </rPr>
      <t>sin instalar sobre de obra existente</t>
    </r>
    <r>
      <rPr>
        <sz val="12"/>
        <color indexed="8"/>
        <rFont val="Calibri"/>
        <family val="2"/>
      </rPr>
      <t>, incluso con p.p. de medios auxiliares y doble acristalamiento tipo Climalit 4/8/4, conjunto formado por dos lunas float incoloras de 4 mm y cámara de aire deshidratado de 8 mm con perfil separador de aluminio y doble sellado perimetral, fijación sobre carpintería con acuñado mediante calzos de apoyo perimetrales y laterales y sellado en frío con silicona, incluso cortes de vidrio y colocación de junquillos.</t>
    </r>
  </si>
  <si>
    <t>M2 Suplemento por perfil gama fría (perfil europeo) superior a 55mm de espesor de perfil</t>
  </si>
  <si>
    <t>-   €</t>
  </si>
  <si>
    <t>M2 Suplemento por perfil con RPT hasta 55mm de espesor de perfil de 1 hoja</t>
  </si>
  <si>
    <t>M2 Suplemento por perfil con RPT hasta 55mm de espesor de perfil de 2 hojas.</t>
  </si>
  <si>
    <t>M2Suplemento por perfil con RPT superior a 55mm de espesor de perfil de 1 hoja</t>
  </si>
  <si>
    <t>M2Suplemento por perfil con RPT superior a 55mm de espesor de perfil de 2 hojas</t>
  </si>
  <si>
    <t>M2 Suplemento por perfil PVC hasta 55mm de espesor de perfil de 1 hoja.</t>
  </si>
  <si>
    <t>M2 Suplemento por perfil PVC hasta 55mm de espesor de perfil de 2 hojas</t>
  </si>
  <si>
    <t>M2 Suplemento por perfil con PVC superior a 55mm de espesor de perfil de 1 hoja</t>
  </si>
  <si>
    <t>M2 Suplemento por perfil con PVC superior a 55mm de espesor de perfil de 2 hojas</t>
  </si>
  <si>
    <t>M2 Suplemento por compacto o monobloc con persiana de PVC completa para perfil de R.P.T. Precio por m2 para colores estándar. Facturación mínima 1,5m2</t>
  </si>
  <si>
    <t>M2 Suplemento por compacto o monobloc con persiana de aluminio térmico completa para perfil de R.P.T. Precio por m2 para colores estándar. Facturación mínima 1,5m2</t>
  </si>
  <si>
    <t>ML Suplemento por perfil extrusionado de zócalo de 14 cmts de altura</t>
  </si>
  <si>
    <t>M2 Suplemento por zócalo de chapa &lt;300mm con travesaño</t>
  </si>
  <si>
    <t>M2 Suplemento por precerco de aluminio para recibido de carpintería monobloc con persiana de aluminio térmico completa. Precio por m2 para colores estándar</t>
  </si>
  <si>
    <t>ML de suplemento de perfil de puerta para instalación de cerraduras</t>
  </si>
  <si>
    <t>M2 Lacado color estándar de 1 hoja</t>
  </si>
  <si>
    <t>M2 Lacado color estándar de 2 hojas</t>
  </si>
  <si>
    <t>M2 Anodizado bronce/plata de 1 hoja</t>
  </si>
  <si>
    <t>M2 Anodizado bronce/plata de 2 hojas</t>
  </si>
  <si>
    <t>M2 Lacado color no estándar de 1 hoja</t>
  </si>
  <si>
    <t>M2 Lacado color no estándar de 2 hojas</t>
  </si>
  <si>
    <t>M2 Lacado color madera de 1 hoja</t>
  </si>
  <si>
    <t>M2 Lacado color madera de 2 hojas</t>
  </si>
  <si>
    <t>UD Suplemento por apertura oscilo-batiente de 1 hoja</t>
  </si>
  <si>
    <t>UD Suplemento por apertura oscilo-batiente de 2 hojas</t>
  </si>
  <si>
    <t>UD Suplemento por apertura oscilo-paralela</t>
  </si>
  <si>
    <t>UD Suplemento por apertura plegable por hoja</t>
  </si>
  <si>
    <t>UD Suplemento por apertura elevable por hoja</t>
  </si>
  <si>
    <t>UD Suplemento por apertura pivotante</t>
  </si>
  <si>
    <t>UD Suplemento de cerradura de 1 punto</t>
  </si>
  <si>
    <t>UD Suplemento de cerradura de  3 puntos resbalón y palanca</t>
  </si>
  <si>
    <t>UD Suplemento de tirador</t>
  </si>
  <si>
    <t>UD Suplemento de maneta</t>
  </si>
  <si>
    <t>UD Suplemento de tercer punto de cierre en hojas correderas por hoja</t>
  </si>
  <si>
    <t>UD Suplemento de cierre de centro en hojas correderas</t>
  </si>
  <si>
    <t>UD Suplemento de bombillo de seguridad</t>
  </si>
  <si>
    <t>M2 Luna de 5mm. Mínimo de 0,5 hasta 2,00m2</t>
  </si>
  <si>
    <t>M2 Luna de 6mm. Mínimo de 0,5 hasta 2,00m2</t>
  </si>
  <si>
    <t>M2 Luna de 8mm. Mínimo de 0,5 hasta 2,00m2</t>
  </si>
  <si>
    <t>M2 Luna de 10mm. Mínimo de 0,5 hasta 2,00m2</t>
  </si>
  <si>
    <t>M2 Carglass de 4mm. Mínimo de 0,5 hasta 2,00m2</t>
  </si>
  <si>
    <t>M2 Carglass de 6mm. Mínimo de 0,5 hasta 2,00m2</t>
  </si>
  <si>
    <t>M2 Mate de 4mm. Mínimo de 0,5 hasta 2,00m2</t>
  </si>
  <si>
    <t>M2 Mate de 6mm. Mínimo de 0,5 hasta 2,00m2</t>
  </si>
  <si>
    <t>M2 Laminar 3+3. Mínimo de 0,5 hasta 2,00m2</t>
  </si>
  <si>
    <t>M2 Laminar 4+4. Mínimo de 0,5 hasta 2,00m2</t>
  </si>
  <si>
    <t>M2 Laminar 5+5. Mínimo de 0,5 hasta 2,00m2</t>
  </si>
  <si>
    <t>M2 Laminar 6+6. Mínimo de 0,5 hasta 2,00m2</t>
  </si>
  <si>
    <t>M2 Laminar 3+3 mate. Mínimo de 0,5 hasta 2,00m2</t>
  </si>
  <si>
    <t>M2 Laminar 4+4 mate. Mínimo de 0,5 hasta 2,00m2</t>
  </si>
  <si>
    <t>M2 Laminar 3+3 acústico. Mínimo de 0,5 hasta 2,00m2</t>
  </si>
  <si>
    <t>M2 Laminar 4+4 acústico. Mínimo de 0,5 hasta 2,00m2</t>
  </si>
  <si>
    <t>M2 Bajo Emisivo Climaguard NL 4mm. Mínimo de 0,5 hasta 2,00m2</t>
  </si>
  <si>
    <t>M2 Bajo Emisivo Climaguard NL 6mm. Mínimo de 0,5 hasta 2,00m2</t>
  </si>
  <si>
    <t>M2 Guardian Sun 4mm(bajo emisivo+control solar). Mínimo de 0,5 hasta 2,00m2</t>
  </si>
  <si>
    <t>M2 Guardian Sun 6mm(bajo emisivo+control solar). Mínimo de 0,5 hasta 2,00m2</t>
  </si>
  <si>
    <t>%  Incremento para lunas  &gt; 2,00m2</t>
  </si>
  <si>
    <t>%  Incremento para lunas   &gt; 3,00m2 hasta 4,00m2</t>
  </si>
  <si>
    <t>M2 Cámara de 16mm</t>
  </si>
  <si>
    <t>M2 Cámara de 19mm</t>
  </si>
  <si>
    <t>M2 Cámara de 22mm</t>
  </si>
  <si>
    <t>M2 Cámara de 24 mm</t>
  </si>
  <si>
    <t>ML Barrotillo de 18mm con cruceta blanco</t>
  </si>
  <si>
    <t>ML Barrotillo castellano de 25mm blanco</t>
  </si>
  <si>
    <t>ML Barrotillo inglesina(blanco,dorada y gris plomo)</t>
  </si>
  <si>
    <t>UD Galleta lacado blanco</t>
  </si>
  <si>
    <t>ML Tapajuntas interior de 35mm blanco instalado en ventana</t>
  </si>
  <si>
    <t>ML Tapajuntas interior  de 40mm blanco interior instalado en ventana</t>
  </si>
  <si>
    <t>ML Angular  interior de 60mm blanco</t>
  </si>
  <si>
    <t>ML Remate exterior realizado con angular 20x20 blanco</t>
  </si>
  <si>
    <t>ML Remate exterior realizado con angular 40x20 blanco</t>
  </si>
  <si>
    <t>ML Remate exterior realizado con angular 40x40 blanco</t>
  </si>
  <si>
    <t>ML Remate exterior realizado con angular 60x40 blanco</t>
  </si>
  <si>
    <t>ML Remate exterior realizado con angular 60x60 blanco</t>
  </si>
  <si>
    <t>M2 Remate exterior realizado con chapa sencilla de 1 cara lacada en blanca, cortada, plegada y sellada a la ventana</t>
  </si>
  <si>
    <t>M2 Remate exterior realizado con chapa sencilla de 2 cara lacada en blanca, cortada, plegada y sellada a la ventana</t>
  </si>
  <si>
    <t>UD de suministro y montaje de motor para persiana hasta 28kg sin rozas y sin conexionar a la red, con maniobra mediante pulsador</t>
  </si>
  <si>
    <t>UD de suministro y montaje de motor para persiana hasta 56kg sin rozas y sin conexionar a la red, con maniobra mediante pulsador</t>
  </si>
  <si>
    <t>UD de suministro y montaje de motor para persiana hasta 90 kg sin rozas y sin conexionar a la red, con maniobra mediante pulsador</t>
  </si>
  <si>
    <t>UD de suministro y montaje de motor para persiana hasta 120kg sin rozas y sin conexionar a la red, con maniobra mediante pulsador</t>
  </si>
  <si>
    <t>UD de suministro de pulsador de persiana</t>
  </si>
  <si>
    <t>UD de suplemento por motor de persiana con mando via radio incluido para motores de 28kg, 56kg, 90kg y 120kg</t>
  </si>
  <si>
    <t>UD Suministro de puerta de chapa con rejilla de ventilación y cerradura sencilla de canto, para pintar</t>
  </si>
  <si>
    <t>UD Tapa de aluminio semibrillo para registro de agua portal</t>
  </si>
  <si>
    <t>M2 de suministro y montaje de falso techo registrable metálico</t>
  </si>
  <si>
    <t>M2 de colocación de lamas de aluminio para cerramientos o falsos techos</t>
  </si>
  <si>
    <t>12.</t>
  </si>
  <si>
    <t>M2 Raspado y emplastecido de paramentos, para eliminar relieve de gota temple</t>
  </si>
  <si>
    <t>M2 Raspado y enlucido de paramentos, para eliminar relieve en temple</t>
  </si>
  <si>
    <t>M2 Pintura al temple liso blanca, sobre relieve existente</t>
  </si>
  <si>
    <t>M2 Pintura al temple liso color carta estándar, sobre relieve existente</t>
  </si>
  <si>
    <t>M2 Pintura gotelé temple blanca, previa preparación de paramentos</t>
  </si>
  <si>
    <t>M2 Pintura gotelé temple color carta estándar, previa preparación de paramentos</t>
  </si>
  <si>
    <t>M2 Pintura gotelé plástico incluido mano posterior de pintura plástica</t>
  </si>
  <si>
    <t>M2 Pintura plástico liso blanco, sobre relieve existente</t>
  </si>
  <si>
    <t>M2 Pintura plástico color carta estándar , sobre relieve existente</t>
  </si>
  <si>
    <t>M2 Pintura plástico liso color carta estándar para acabado liso, previa preparación (no incluye tendidos, simplemente lijado de superficie y emplastecidos mínimos)</t>
  </si>
  <si>
    <t>ML Pintura plástica liso en cornisa</t>
  </si>
  <si>
    <t>M2 Pintura gota plastificada blanca</t>
  </si>
  <si>
    <t>M2 Pintura gota plastificada color carta estándar</t>
  </si>
  <si>
    <t>M2 Pintura semilaca sobre paramentos existentes</t>
  </si>
  <si>
    <t>M2 Revestimiento pétreo blanco, liso</t>
  </si>
  <si>
    <t>M2 Revestimiento pétreo blanco, rugoso</t>
  </si>
  <si>
    <t>M2 Pintura esmalte negro o blanco, mate</t>
  </si>
  <si>
    <t>M2 Pintura esmalte negro o blanco ,mate en barandilla</t>
  </si>
  <si>
    <t>ML Pintura esmalte negro o blanco, mate</t>
  </si>
  <si>
    <t>ML Pintura esmalte carta 12 colores</t>
  </si>
  <si>
    <t>M2 Pintura esmalte carta 12 colores</t>
  </si>
  <si>
    <t>UD Pintura esmalte anticalórico sobre radiador (en función de dimensiones)</t>
  </si>
  <si>
    <t>UD Pintura esmalte en puerta de madera, dos caras, sobre pintura existente dos manos</t>
  </si>
  <si>
    <t>UD Pintura esmalte en puerta de madera virgen, tres manos de acabado</t>
  </si>
  <si>
    <t>M2 Pintura al silicato sobre enfoscado de cemento</t>
  </si>
  <si>
    <t>M2 Aplicación de selladora antimanchas de humedad y humo</t>
  </si>
  <si>
    <t>M2 Suministro y colocación de fibra de vidrio (Veloglass)</t>
  </si>
  <si>
    <t>M2 Estuco sobre soporte existente</t>
  </si>
  <si>
    <t>M2 Estuco sobre soporte creado (tendiendo de yeso)</t>
  </si>
  <si>
    <t>M2 Estuco sobre soporte creado (tendiendo de yeso y colocando veloglass)</t>
  </si>
  <si>
    <t>M2 Barniz sobre carpintería exterior de madera incluso lijado necesario</t>
  </si>
  <si>
    <t>Barniz sobre persianas includo lijado necesario</t>
  </si>
  <si>
    <t>M2 Barniz sobre carpintería interior  de madera(puertas de paso, armarios)includo lijado necesario</t>
  </si>
  <si>
    <t>M2 Pintura a base de resina epoxi</t>
  </si>
  <si>
    <t>M2 Barniz para revestir fabrica de ladrillo,incluyendo limpieza  previa de  paramento y mano de imprimación</t>
  </si>
  <si>
    <t>M2 Colocación de papel pintado o similar</t>
  </si>
  <si>
    <t>13.</t>
  </si>
  <si>
    <t>UD Suministro y colocación de guarda-vivos de sapelly o roble hasta 2,60 mts de longitud</t>
  </si>
  <si>
    <t>UD Suministro y colocación de guarda-vivos lacados hasta 2,60 mts de longitud</t>
  </si>
  <si>
    <t>UD Suministro y colocacion de rejilla de ventilación 15x15 esmaltada en blanco</t>
  </si>
  <si>
    <t>UD Sustitución de recogecintas y cinta de persianas</t>
  </si>
  <si>
    <t>UD Suministro y colocación de encimera para baño de hasta 120 cms de largo por hasta 60 cms de ancho, en mármol Crema Marfil, montada con escuadras metálicas, incluso corte para lavabo de encastrar (sin incluir éste), faldón recto de 14 cms con entrecalle y copete de 5cms</t>
  </si>
  <si>
    <t>UD Suministro y colocación de encimera para baño de 170 cms de largo por hasta 60 cms de ancho, en mármol Crema Marfil, montada con escuadras metálicas, con dos hueco para lavabos (sin incluir éste), faldón recto de 14 cms con entrecalle y copete de 5 cms</t>
  </si>
  <si>
    <t>M2 Suministro y colocación de espejo plata</t>
  </si>
  <si>
    <t>UD Montaje de accesorios de baño</t>
  </si>
  <si>
    <t>UD Protección mediante tapado de suelos con bovina de cartón en zonas comunes, ascensor, rellano de planta e interior de vivienda hasta zona de trabajo</t>
  </si>
  <si>
    <t>UD Puesta en obra de materiales cerámicos y de construcción (únicamente se cobrará cuándo la empresa colaboradora no aporte los materiales a la reforma)</t>
  </si>
  <si>
    <t>% I.M</t>
  </si>
  <si>
    <t>M2 Limpieza de final de obra de vivienda</t>
  </si>
  <si>
    <t>H Limpieza de final de obra de vivienda</t>
  </si>
  <si>
    <t xml:space="preserve">demolición de bañera y suministro e instalación de plato de ducha </t>
  </si>
  <si>
    <t>Y</t>
  </si>
  <si>
    <t>T</t>
  </si>
  <si>
    <t>Intervención Base.</t>
  </si>
  <si>
    <t xml:space="preserve">Elaboración de informe, habiendo accedido a cubierta inclinada siendo necesarios medios auxiliares y de protección, aportando diagnóstico de causa y presupuesto de reparación. </t>
  </si>
  <si>
    <t>Elaboración de informe, habiendo accedido a cubierta sin necesidad de utilizar medios auxiliares y de protección, aportando diagnóstico de causa y presupuesto de reparación.</t>
  </si>
  <si>
    <t xml:space="preserve">Reparación de cubierta sustituyendo tejas. Hasta 1 m2.                          </t>
  </si>
  <si>
    <t>Reparación de cubierta sustituyendo tejas. De 1 a 3 m2.</t>
  </si>
  <si>
    <t>Reparación de cubierta sustituyendo tejas. A partir de 3 m2. Precio por m2 adicional. Se facturará el código B2T + m2 adicional.</t>
  </si>
  <si>
    <t>Recolocación de tejas. Hasta 3 m2.</t>
  </si>
  <si>
    <t>Recolocación de tejas. A partir de 3 m2. Precio por m2 adicional. Se facturará el código B4T + m2 adicional.</t>
  </si>
  <si>
    <t>Recibido de piezas sueltas en caballetes, limatesas y/o remates laterales. Hasta 5 ml.</t>
  </si>
  <si>
    <t>Recibido de piezas sueltas en caballetes, limatesas y/o remates laterales. A partir de 5 ml.  Precio por ml adicional. Se facturará el código B6T + ml adicional.</t>
  </si>
  <si>
    <t>Reparación de caballetes, limatesas  y/o remates laterales, sustituyendo piezas. Hasta 1 ml.</t>
  </si>
  <si>
    <t>Reparación de caballetes, limatesas y/o  remates laterales, sustituyendo piezas. De 1 a 3 ml.</t>
  </si>
  <si>
    <t>Reparación de caballetes, limatesas y/o  remates laterales sustituyendo piezas. A partir de 3 ml. Se facturará el código B9T + ml.</t>
  </si>
  <si>
    <t xml:space="preserve">Reparación de cubierta sustituyendo piezas de pizarra. Hasta 1 m2.                          </t>
  </si>
  <si>
    <t>Reparación de cubierta sustituyendo piezas de pizarra. De 1 a 3 m2.</t>
  </si>
  <si>
    <t>Reparación de cubierta sustituyendo piezas de pizarra. A partir de 3 m2. Precio por m2 adicional. Se facturará el código C2T + m2 adicional.</t>
  </si>
  <si>
    <t xml:space="preserve">Recolocación de pizarra. Hasta 3 m2. </t>
  </si>
  <si>
    <t>Recolocación de pizarra. A partir de 3 m2. Precio por m2 adicional. Se facturará el código C4T + m2 adicional.</t>
  </si>
  <si>
    <t>Sustitución de caballetes, limatesas y/o remates de aluminio o zinc. Hasta 5ml.</t>
  </si>
  <si>
    <t>Sustitución de caballetes, limatesas y/o remates de aluminio o zinc. De 5 a 10 ml.</t>
  </si>
  <si>
    <t>Sustitución de caballetes, limatesas y/o remates de aluminio o zinc. A partir de 10 ml. Precio por ml adicional. Se facturará el código C7T + ml adicional.</t>
  </si>
  <si>
    <t xml:space="preserve">Reparación de cubierta inclinada de placas asfáticas tipo tégola canadiense, sustituyendo piezas clavadas, pegadas o soldadas. Hasta 1 m2.                           </t>
  </si>
  <si>
    <t xml:space="preserve">Reparación de cubierta inclinada de placas asfáticas tipo tégola canadiense, sustituyendo piezas clavadas, pegadas o soldadas. De 1 a 3 m2.                           </t>
  </si>
  <si>
    <t xml:space="preserve">Reparación de cubierta inclinada de placas asfáticas tipo tégola canadiense, sustituyendo piezas clavadas, pegadas o soldadas.  A partir de 3 m2. Precio por m2 adicional. Se facturará el código D2T + m2 adicional.                          </t>
  </si>
  <si>
    <t xml:space="preserve">Reparación de cubierta de placas de fibrocemento o poliéster sustituyendo placas dañadas. Hasta 3 m2.                           </t>
  </si>
  <si>
    <t xml:space="preserve">Reparación de cubierta de placas de fibrocemento o poliéster sustituyendo placas dañadas. De 3 a 6 m2.                           </t>
  </si>
  <si>
    <t xml:space="preserve">Reparación de cubierta de placas de fibrocemento o poliéster sustituyendo placas dañadas. A partir de 6 m2. Precio por m2 adicional. Se facturará el código D5T + m2 adicional.                          </t>
  </si>
  <si>
    <t>Sustitución de caballetes o limatesas, sustituyendo piezas. Hasta 3 ml.</t>
  </si>
  <si>
    <t>Sustitución de caballetes o limatesas, sustituyendo piezas. De 3 a 5 ml.</t>
  </si>
  <si>
    <t>Sustitución de caballetes o limatesas, sustituyendo piezas. A partir de 5 ml. Precio del ml adicional. Se facturará el código D8T + ml adicional.</t>
  </si>
  <si>
    <t>Reparación de revestimiento exterior de fachada realizado en placa minionda / zinc, sustituyendo piezas afectadas, incluida parte proporcional de anclaje, rastrel, sellado. Hasta 3 m2.</t>
  </si>
  <si>
    <t>Reparación de revestimiento exterior de fachada realizado en placa minionda / zinc, sustituyendo piezas afectadas, incluida parte proporcional de anclaje, rastrel, sellado. De 3 a 6 m2.</t>
  </si>
  <si>
    <t>Reparación de revestimiento exterior de fachada realizado en placa minionda / zinc, sustituyendo piezas afectadas, incluida parte proporcional de anclaje, rastrel, sellado. A partir de 6 m2. Precio por m2 adicional. Se facturará el código DBT + m2 adicional.</t>
  </si>
  <si>
    <t>E</t>
  </si>
  <si>
    <t>Intervención mínima. Nivelación y/o enderezado o sustitución de soportes.</t>
  </si>
  <si>
    <t>Sustitución de canalón y/o bajante de PVC, de cualquier desarrollo o diámetro con parte proporcional de piezas especiales y materiales de fijación. Hasta 3 ml.</t>
  </si>
  <si>
    <t>Sustitución de canalón de PVC, de cualquier desarrollo o diametro, con parte proporcional de piezas especiales y materiales de fijación. A partir de 3 ml. Precio por ml adicional. Se facturará el código E2T + ml adicional.</t>
  </si>
  <si>
    <t>Sustitución de bajante de PVC, de cualquier diámetro, con parte proporcional de piezas especiales y materiales de fijación. A partir de 3 ml. Precio por ml adicional. Se facturará el código E2T + ml adicional.</t>
  </si>
  <si>
    <t>Suplemento por canalón de aluminio lacado en cualquier color. Precio por ml.</t>
  </si>
  <si>
    <t>Suplemento por canalón de chapa galvanizada. Precio por ml.</t>
  </si>
  <si>
    <t>Suplemento por canalón de zinc. Precio por ml.</t>
  </si>
  <si>
    <t>Suplemento por canalón de cobre. Precio por ml.</t>
  </si>
  <si>
    <t>F</t>
  </si>
  <si>
    <t xml:space="preserve">Restauración de revestimiento de fachada con mortero de cemento o guarnecido y enlucido, incluso picado y retirada de escombros. Hasta 2 m2.                                </t>
  </si>
  <si>
    <t>Restauración de revestimiento de fachada con mortero de cemento, incluso picado y retirada de escombros. A partir de 2 m2. Precio por m2 adicional. Se facturará el código F1T + m2 adicional.</t>
  </si>
  <si>
    <t>Restauración de revestimientos de fachadas con revocos preparados, incluso picado y retirada de escombros. Hasta 2 m2.</t>
  </si>
  <si>
    <t>Restauración de revestimiento de fachadas con revocos preparados, incluso picado y retirada de escombros. A partir de 2 m2 . Precio por m2 adicional. Se facturará el código F3T + m2 adicional hasta 10 m2. A partir de esta medición se facilitará presupuesto previo.</t>
  </si>
  <si>
    <t>Sellado de juntas o grietas mediante la aplicación de morteros preparados, masillas acrílicas, siliconas, etc., incluso apertura de grietas y limpieza de las mismas. Hasta 2 ml. A partir de esta medición se facilitará presupuesto previo.</t>
  </si>
  <si>
    <t>Pintura plástica o pétrea, incluso la preparación del soporte. Hasta 3 m2.</t>
  </si>
  <si>
    <t>Pintura plástica o pétrea, incluso la preparación del soporte. A partir de 3 m2. Se facturará el código F6T + M2 adicional.</t>
  </si>
  <si>
    <t>Sustitución de injerto sencillo incluso tramo de bajante necesario.</t>
  </si>
  <si>
    <t>Sustitución de injerto doble incluso tramo de bajante necesario.</t>
  </si>
  <si>
    <t>Sustitución de codo y desvio en bajante.</t>
  </si>
  <si>
    <t>Sustitución de tramo de bajante. Hasta 3 ml.</t>
  </si>
  <si>
    <t>Reparación o sellado de injerto, mangueta o desagüe.</t>
  </si>
  <si>
    <t>Sustitución de mangueta incluso desagüe.</t>
  </si>
  <si>
    <t>Sustitución de desagüe. Hasta 3 ml.</t>
  </si>
  <si>
    <t>G</t>
  </si>
  <si>
    <t>Alquiler, transporte, montaje y desmontaje de andamio. Hasta 2 módulos.</t>
  </si>
  <si>
    <t>Alquiler, transporte, montaje y desmontaje de andamio. A partir de 2 módulos. Precio de módulo adicional. Se facturará el código G1T + módulo adicional.</t>
  </si>
  <si>
    <t>Utilización de camión con cesta pluma, altura de trabajo hasta 12 m. Precio por día.</t>
  </si>
  <si>
    <t>Utilización de camión con cesta pluma, altura de trabajo hasta 18 m. Precio por día.</t>
  </si>
  <si>
    <t>Utilización de camión con cesta pluma, altura de trabajo hasta 21 m. Precio por día.</t>
  </si>
  <si>
    <t>Utilización de plataforma tijera eléctrica o articulada, altura de trabajo hasta 16 m. Precio por día.</t>
  </si>
  <si>
    <t>Utilización de plataforma tijera diesel o articulada, altura de trabajo hasta 23 m. Precio por día.</t>
  </si>
  <si>
    <t>Utilización de escalera a partir de 12 m.</t>
  </si>
  <si>
    <t>H</t>
  </si>
  <si>
    <t>1º Anclaje o eslinga (cable de anclajes a torres), incluido descuelgue.</t>
  </si>
  <si>
    <t>2º Anclaje o eslinga y sucesivos , incluido descuelgue, precio por unidad.</t>
  </si>
  <si>
    <t>Colocación de línea de vida o atirantamiento con cable o cadena.</t>
  </si>
  <si>
    <t>Colocación de andamio flotante, incluso anclajes necesarios.</t>
  </si>
  <si>
    <t>V</t>
  </si>
  <si>
    <t>Visita en la que el profesional no realiza reparación por tratarse de una exclusión,  por otras causas relacionadas con asegurados o para comprobación de una reparación o una exclusión correcta.</t>
  </si>
  <si>
    <t>Z</t>
  </si>
  <si>
    <t>Precio de mano de obra cualificada. Hora de oficial.</t>
  </si>
  <si>
    <t>Cualquier trabajo que se realice y no figure reflejado en Tarifa. Valorado por el RTR.</t>
  </si>
  <si>
    <t>Avda.  de la Encina nº 25, nave 4</t>
  </si>
  <si>
    <t>C.P 28942 (Fuenlabrada)</t>
  </si>
  <si>
    <t>NIF: B-84330547</t>
  </si>
  <si>
    <t xml:space="preserve">Teléfono: 910 251 190      </t>
  </si>
  <si>
    <t>www.reformasrogama.es</t>
  </si>
  <si>
    <t>EMAIL: rrogama@gmail.com</t>
  </si>
  <si>
    <t>Código de Profesional: 08456</t>
  </si>
  <si>
    <t>Trabajos a realizar en:</t>
  </si>
  <si>
    <t>CLIENTE:</t>
  </si>
  <si>
    <t>DIRECCION:</t>
  </si>
  <si>
    <t xml:space="preserve">LOCALIDAD:  </t>
  </si>
  <si>
    <t>C.P:</t>
  </si>
  <si>
    <t>TELEFONO:</t>
  </si>
  <si>
    <r>
      <t>De conformidad con lo dispuesto en las normativas vigentes en protección de datos personales, el Reglamento (UE) 2016/679 de 27 de abril de 2016 (GDPR) y la Ley Orgánica (ES) 15/1999 de 13 de diciembre (LOPD), le informamos de que sus datos personales serán tratados bajo la responsabilidad de REFORMAS ROGAMA SL para el envío de comunicaciones sobre nuestros productos y servicios y se conservarán mientras haya un interés mutuo para ello. Le informamos que puede ejercer los derechos de acceso, rectificación y supresión de datos y los de limitación y oposición al tratamiento dirigiéndose a </t>
    </r>
    <r>
      <rPr>
        <i/>
        <sz val="8"/>
        <color rgb="FF000000"/>
        <rFont val="Calibri"/>
        <family val="2"/>
      </rPr>
      <t>rrogama@gmail.com</t>
    </r>
    <r>
      <rPr>
        <i/>
        <sz val="8"/>
        <color rgb="FF999999"/>
        <rFont val="Calibri"/>
        <family val="2"/>
      </rPr>
      <t> o en la Dirección: C/ ROSALIA DE CASTRO,3 3-A 28700- </t>
    </r>
    <r>
      <rPr>
        <i/>
        <sz val="8"/>
        <color rgb="FF1155CC"/>
        <rFont val="Calibri"/>
        <family val="2"/>
      </rPr>
      <t>S.S.DE</t>
    </r>
    <r>
      <rPr>
        <i/>
        <sz val="8"/>
        <color rgb="FF999999"/>
        <rFont val="Calibri"/>
        <family val="2"/>
      </rPr>
      <t> LOS REYES (MADRID). Si considera que el tratamiento de datos no se ajusta a la normativa vigente, podrá presentar una reclamación ante la autoridad de control en </t>
    </r>
    <r>
      <rPr>
        <i/>
        <sz val="8"/>
        <color rgb="FF1155CC"/>
        <rFont val="Calibri"/>
        <family val="2"/>
      </rPr>
      <t>agpd.es</t>
    </r>
    <r>
      <rPr>
        <i/>
        <sz val="8"/>
        <color rgb="FF999999"/>
        <rFont val="Calibri"/>
        <family val="2"/>
      </rPr>
      <t>. </t>
    </r>
  </si>
  <si>
    <t xml:space="preserve">REFORMAS ROGAMA SL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</si>
</sst>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lt;0]&quot;-&quot;* #,##0.00\ &quot;€&quot;\ ;[=0]\ * &quot;-&quot;??\ &quot;€&quot;\ ;\ * #,##0.00\ &quot;€&quot;\ "/>
    <numFmt numFmtId="165" formatCode="[$€-2]\ 0.0#"/>
    <numFmt numFmtId="166" formatCode="[$€-2]\ 0.00"/>
    <numFmt numFmtId="167" formatCode="[&lt;0]&quot;-&quot;#,##0.00\ &quot;€&quot;;#,##0.00\ &quot;€&quot;"/>
    <numFmt numFmtId="168" formatCode="[$€-2]\ #,##0.00"/>
    <numFmt numFmtId="169" formatCode="[$-C0A]d\ &quot;de&quot;\ mmmm\ &quot;de&quot;\ yyyy;@"/>
    <numFmt numFmtId="170" formatCode="[$-F800]dddd\,\ mmmm\ dd\,\ yyyy"/>
  </numFmts>
  <fonts count="38" x14ac:knownFonts="1">
    <font>
      <sz val="10"/>
      <color indexed="8"/>
      <name val="Helvetica"/>
    </font>
    <font>
      <sz val="12"/>
      <color indexed="8"/>
      <name val="Helvetica"/>
      <family val="2"/>
    </font>
    <font>
      <sz val="14"/>
      <color indexed="8"/>
      <name val="Helvetica"/>
      <family val="2"/>
    </font>
    <font>
      <u/>
      <sz val="12"/>
      <color indexed="11"/>
      <name val="Helvetica"/>
      <family val="2"/>
    </font>
    <font>
      <sz val="12"/>
      <color indexed="8"/>
      <name val="Arial"/>
      <family val="2"/>
    </font>
    <font>
      <b/>
      <sz val="15"/>
      <color indexed="14"/>
      <name val="Arial"/>
      <family val="2"/>
    </font>
    <font>
      <sz val="11"/>
      <color indexed="8"/>
      <name val="Arial"/>
      <family val="2"/>
    </font>
    <font>
      <b/>
      <sz val="10"/>
      <color indexed="8"/>
      <name val="Arial"/>
      <family val="2"/>
    </font>
    <font>
      <b/>
      <i/>
      <sz val="11"/>
      <color indexed="8"/>
      <name val="Arial"/>
      <family val="2"/>
    </font>
    <font>
      <b/>
      <sz val="11"/>
      <color indexed="8"/>
      <name val="Arial"/>
      <family val="2"/>
    </font>
    <font>
      <u/>
      <sz val="12"/>
      <color indexed="16"/>
      <name val="Arial"/>
      <family val="2"/>
    </font>
    <font>
      <sz val="13"/>
      <color indexed="8"/>
      <name val="Arial"/>
      <family val="2"/>
    </font>
    <font>
      <sz val="12"/>
      <color indexed="12"/>
      <name val="Arial"/>
      <family val="2"/>
    </font>
    <font>
      <b/>
      <sz val="12"/>
      <color indexed="8"/>
      <name val="Arial"/>
      <family val="2"/>
    </font>
    <font>
      <sz val="14"/>
      <color indexed="8"/>
      <name val="Calibri"/>
      <family val="2"/>
    </font>
    <font>
      <sz val="12"/>
      <color indexed="8"/>
      <name val="Calibri"/>
      <family val="2"/>
    </font>
    <font>
      <b/>
      <sz val="14"/>
      <color indexed="8"/>
      <name val="Calibri"/>
      <family val="2"/>
    </font>
    <font>
      <sz val="14"/>
      <color indexed="8"/>
      <name val="Arial"/>
      <family val="2"/>
    </font>
    <font>
      <b/>
      <sz val="14"/>
      <color indexed="8"/>
      <name val="Arial"/>
      <family val="2"/>
    </font>
    <font>
      <sz val="11"/>
      <color indexed="8"/>
      <name val="Calibri"/>
      <family val="2"/>
    </font>
    <font>
      <sz val="10"/>
      <color indexed="8"/>
      <name val="Calibri"/>
      <family val="2"/>
    </font>
    <font>
      <b/>
      <sz val="12"/>
      <color indexed="8"/>
      <name val="Calibri"/>
      <family val="2"/>
    </font>
    <font>
      <sz val="12"/>
      <color indexed="8"/>
      <name val="Helvetica Neue"/>
      <family val="2"/>
    </font>
    <font>
      <u/>
      <sz val="10"/>
      <color theme="10"/>
      <name val="Helvetica"/>
      <family val="2"/>
    </font>
    <font>
      <b/>
      <sz val="11"/>
      <color indexed="8"/>
      <name val="Calibri"/>
      <family val="2"/>
    </font>
    <font>
      <sz val="8"/>
      <name val="Helvetica"/>
      <family val="2"/>
    </font>
    <font>
      <b/>
      <sz val="10"/>
      <color indexed="8"/>
      <name val="Calibri"/>
      <family val="2"/>
    </font>
    <font>
      <u/>
      <sz val="12"/>
      <color indexed="16"/>
      <name val="Calibri"/>
      <family val="2"/>
    </font>
    <font>
      <i/>
      <sz val="8"/>
      <color rgb="FF999999"/>
      <name val="Calibri"/>
      <family val="2"/>
    </font>
    <font>
      <i/>
      <sz val="8"/>
      <color rgb="FF000000"/>
      <name val="Calibri"/>
      <family val="2"/>
    </font>
    <font>
      <i/>
      <sz val="8"/>
      <color rgb="FF1155CC"/>
      <name val="Calibri"/>
      <family val="2"/>
    </font>
    <font>
      <b/>
      <u/>
      <sz val="20"/>
      <color rgb="FF000000"/>
      <name val="Times New Roman"/>
      <family val="1"/>
    </font>
    <font>
      <sz val="16"/>
      <color indexed="8"/>
      <name val="Calibri"/>
      <family val="2"/>
    </font>
    <font>
      <sz val="16"/>
      <color rgb="FF000000"/>
      <name val="Calibri"/>
      <family val="2"/>
    </font>
    <font>
      <u/>
      <sz val="16"/>
      <color indexed="16"/>
      <name val="Calibri"/>
      <family val="2"/>
    </font>
    <font>
      <b/>
      <sz val="16"/>
      <color rgb="FF000000"/>
      <name val="Calibri"/>
      <family val="2"/>
    </font>
    <font>
      <u/>
      <sz val="16"/>
      <color theme="10"/>
      <name val="Calibri"/>
      <family val="2"/>
    </font>
    <font>
      <sz val="10"/>
      <color rgb="FF000000"/>
      <name val="Calibri"/>
      <family val="2"/>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theme="7" tint="-0.249977111117893"/>
        <bgColor indexed="64"/>
      </patternFill>
    </fill>
  </fills>
  <borders count="42">
    <border>
      <left/>
      <right/>
      <top/>
      <bottom/>
      <diagonal/>
    </border>
    <border>
      <left/>
      <right/>
      <top/>
      <bottom/>
      <diagonal/>
    </border>
    <border>
      <left/>
      <right/>
      <top/>
      <bottom/>
      <diagonal/>
    </border>
    <border>
      <left style="thin">
        <color indexed="12"/>
      </left>
      <right style="thin">
        <color indexed="12"/>
      </right>
      <top style="thin">
        <color indexed="12"/>
      </top>
      <bottom style="thin">
        <color indexed="12"/>
      </bottom>
      <diagonal/>
    </border>
    <border>
      <left style="thin">
        <color indexed="22"/>
      </left>
      <right style="thin">
        <color indexed="23"/>
      </right>
      <top style="thin">
        <color indexed="22"/>
      </top>
      <bottom style="thin">
        <color indexed="22"/>
      </bottom>
      <diagonal/>
    </border>
    <border>
      <left style="thin">
        <color indexed="23"/>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3"/>
      </right>
      <top style="thin">
        <color indexed="22"/>
      </top>
      <bottom style="thin">
        <color indexed="15"/>
      </bottom>
      <diagonal/>
    </border>
    <border>
      <left style="thin">
        <color indexed="23"/>
      </left>
      <right style="thin">
        <color indexed="22"/>
      </right>
      <top style="thin">
        <color indexed="22"/>
      </top>
      <bottom style="thin">
        <color indexed="15"/>
      </bottom>
      <diagonal/>
    </border>
    <border>
      <left style="thin">
        <color indexed="22"/>
      </left>
      <right style="thin">
        <color indexed="22"/>
      </right>
      <top style="thin">
        <color indexed="22"/>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22"/>
      </right>
      <top style="thin">
        <color indexed="15"/>
      </top>
      <bottom style="thin">
        <color indexed="22"/>
      </bottom>
      <diagonal/>
    </border>
    <border>
      <left style="thin">
        <color indexed="22"/>
      </left>
      <right style="thin">
        <color indexed="22"/>
      </right>
      <top style="thin">
        <color indexed="15"/>
      </top>
      <bottom style="thin">
        <color indexed="22"/>
      </bottom>
      <diagonal/>
    </border>
    <border>
      <left style="thin">
        <color indexed="15"/>
      </left>
      <right style="thin">
        <color indexed="22"/>
      </right>
      <top style="thin">
        <color indexed="22"/>
      </top>
      <bottom style="thin">
        <color indexed="22"/>
      </bottom>
      <diagonal/>
    </border>
    <border>
      <left style="thin">
        <color indexed="22"/>
      </left>
      <right style="thin">
        <color indexed="23"/>
      </right>
      <top style="thin">
        <color indexed="15"/>
      </top>
      <bottom style="thin">
        <color indexed="22"/>
      </bottom>
      <diagonal/>
    </border>
    <border>
      <left style="thin">
        <color indexed="23"/>
      </left>
      <right style="thin">
        <color indexed="22"/>
      </right>
      <top style="thin">
        <color indexed="15"/>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12"/>
      </bottom>
      <diagonal/>
    </border>
    <border>
      <left/>
      <right style="thin">
        <color indexed="64"/>
      </right>
      <top style="thin">
        <color indexed="64"/>
      </top>
      <bottom style="thin">
        <color indexed="64"/>
      </bottom>
      <diagonal/>
    </border>
    <border>
      <left/>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18"/>
      </left>
      <right style="thin">
        <color indexed="64"/>
      </right>
      <top style="thin">
        <color indexed="64"/>
      </top>
      <bottom style="thin">
        <color indexed="64"/>
      </bottom>
      <diagonal/>
    </border>
    <border>
      <left/>
      <right style="thin">
        <color indexed="18"/>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s>
  <cellStyleXfs count="2">
    <xf numFmtId="0" fontId="0" fillId="0" borderId="0" applyNumberFormat="0" applyFill="0" applyBorder="0" applyProtection="0">
      <alignment vertical="top" wrapText="1"/>
    </xf>
    <xf numFmtId="0" fontId="23" fillId="0" borderId="0" applyNumberFormat="0" applyFill="0" applyBorder="0" applyAlignment="0" applyProtection="0">
      <alignment vertical="top" wrapText="1"/>
    </xf>
  </cellStyleXfs>
  <cellXfs count="173">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4" fillId="0" borderId="0" xfId="0" applyNumberFormat="1" applyFont="1" applyAlignment="1">
      <alignment vertical="top"/>
    </xf>
    <xf numFmtId="0" fontId="18" fillId="4" borderId="3" xfId="0" applyFont="1" applyFill="1" applyBorder="1">
      <alignment vertical="top" wrapText="1"/>
    </xf>
    <xf numFmtId="0" fontId="0" fillId="0" borderId="0" xfId="0" applyNumberFormat="1">
      <alignment vertical="top" wrapText="1"/>
    </xf>
    <xf numFmtId="49" fontId="19" fillId="0" borderId="4" xfId="0" applyNumberFormat="1" applyFont="1" applyBorder="1" applyAlignment="1">
      <alignment horizontal="center" vertical="center" wrapText="1" readingOrder="1"/>
    </xf>
    <xf numFmtId="49" fontId="20" fillId="0" borderId="5" xfId="0" applyNumberFormat="1" applyFont="1" applyBorder="1">
      <alignment vertical="top" wrapText="1"/>
    </xf>
    <xf numFmtId="49" fontId="20" fillId="0" borderId="6" xfId="0" applyNumberFormat="1" applyFont="1" applyBorder="1">
      <alignment vertical="top" wrapText="1"/>
    </xf>
    <xf numFmtId="49" fontId="19" fillId="0" borderId="6" xfId="0" applyNumberFormat="1" applyFont="1" applyBorder="1" applyAlignment="1">
      <alignment horizontal="center" vertical="center" wrapText="1" readingOrder="1"/>
    </xf>
    <xf numFmtId="0" fontId="19" fillId="0" borderId="6" xfId="0" applyFont="1" applyBorder="1" applyAlignment="1">
      <alignment horizontal="center" vertical="center" wrapText="1" readingOrder="1"/>
    </xf>
    <xf numFmtId="0" fontId="16" fillId="0" borderId="4" xfId="0" applyNumberFormat="1" applyFont="1" applyBorder="1" applyAlignment="1">
      <alignment vertical="center" wrapText="1" readingOrder="1"/>
    </xf>
    <xf numFmtId="0" fontId="16" fillId="0" borderId="5" xfId="0" applyNumberFormat="1" applyFont="1" applyBorder="1" applyAlignment="1">
      <alignment vertical="center" wrapText="1" readingOrder="1"/>
    </xf>
    <xf numFmtId="0" fontId="16" fillId="0" borderId="6" xfId="0" applyNumberFormat="1" applyFont="1" applyBorder="1" applyAlignment="1">
      <alignment vertical="center" wrapText="1" readingOrder="1"/>
    </xf>
    <xf numFmtId="49" fontId="16" fillId="0" borderId="6" xfId="0" applyNumberFormat="1" applyFont="1" applyBorder="1" applyAlignment="1">
      <alignment vertical="center" wrapText="1" readingOrder="1"/>
    </xf>
    <xf numFmtId="49" fontId="15" fillId="0" borderId="6" xfId="0" applyNumberFormat="1" applyFont="1" applyBorder="1" applyAlignment="1">
      <alignment horizontal="left" vertical="center" wrapText="1" readingOrder="1"/>
    </xf>
    <xf numFmtId="165" fontId="16" fillId="0" borderId="6" xfId="0" applyNumberFormat="1" applyFont="1" applyBorder="1" applyAlignment="1">
      <alignment vertical="center" wrapText="1" readingOrder="1"/>
    </xf>
    <xf numFmtId="0" fontId="16" fillId="0" borderId="6" xfId="0" applyFont="1" applyBorder="1" applyAlignment="1">
      <alignment vertical="center" wrapText="1" readingOrder="1"/>
    </xf>
    <xf numFmtId="166" fontId="16" fillId="0" borderId="6" xfId="0" applyNumberFormat="1" applyFont="1" applyBorder="1" applyAlignment="1">
      <alignment vertical="center" wrapText="1" readingOrder="1"/>
    </xf>
    <xf numFmtId="0" fontId="16" fillId="0" borderId="7" xfId="0" applyNumberFormat="1" applyFont="1" applyBorder="1" applyAlignment="1">
      <alignment vertical="center" wrapText="1" readingOrder="1"/>
    </xf>
    <xf numFmtId="0" fontId="16" fillId="0" borderId="8" xfId="0" applyNumberFormat="1" applyFont="1" applyBorder="1" applyAlignment="1">
      <alignment vertical="center" wrapText="1" readingOrder="1"/>
    </xf>
    <xf numFmtId="0" fontId="16" fillId="0" borderId="9" xfId="0" applyNumberFormat="1" applyFont="1" applyBorder="1" applyAlignment="1">
      <alignment vertical="center" wrapText="1" readingOrder="1"/>
    </xf>
    <xf numFmtId="49" fontId="16" fillId="0" borderId="9" xfId="0" applyNumberFormat="1" applyFont="1" applyBorder="1" applyAlignment="1">
      <alignment vertical="center" wrapText="1" readingOrder="1"/>
    </xf>
    <xf numFmtId="49" fontId="15" fillId="0" borderId="9" xfId="0" applyNumberFormat="1" applyFont="1" applyBorder="1" applyAlignment="1">
      <alignment horizontal="left" vertical="center" wrapText="1" readingOrder="1"/>
    </xf>
    <xf numFmtId="166" fontId="16" fillId="0" borderId="9" xfId="0" applyNumberFormat="1" applyFont="1" applyBorder="1" applyAlignment="1">
      <alignment vertical="center" wrapText="1" readingOrder="1"/>
    </xf>
    <xf numFmtId="0" fontId="16" fillId="0" borderId="9" xfId="0" applyFont="1" applyBorder="1" applyAlignment="1">
      <alignment vertical="center" wrapText="1" readingOrder="1"/>
    </xf>
    <xf numFmtId="0" fontId="16" fillId="4" borderId="10" xfId="0" applyNumberFormat="1" applyFont="1" applyFill="1" applyBorder="1" applyAlignment="1">
      <alignment horizontal="center" vertical="center"/>
    </xf>
    <xf numFmtId="49" fontId="16" fillId="0" borderId="10" xfId="0" applyNumberFormat="1" applyFont="1" applyBorder="1" applyAlignment="1">
      <alignment vertical="center" wrapText="1" readingOrder="1"/>
    </xf>
    <xf numFmtId="49" fontId="15" fillId="4" borderId="10" xfId="0" applyNumberFormat="1" applyFont="1" applyFill="1" applyBorder="1" applyAlignment="1">
      <alignment horizontal="justify" vertical="center" wrapText="1"/>
    </xf>
    <xf numFmtId="164" fontId="16" fillId="4" borderId="10" xfId="0" applyNumberFormat="1" applyFont="1" applyFill="1" applyBorder="1" applyAlignment="1">
      <alignment horizontal="center" vertical="center"/>
    </xf>
    <xf numFmtId="164" fontId="16" fillId="4" borderId="10" xfId="0" applyNumberFormat="1" applyFont="1" applyFill="1" applyBorder="1" applyAlignment="1">
      <alignment horizontal="left" vertical="center" readingOrder="1"/>
    </xf>
    <xf numFmtId="167" fontId="16" fillId="4" borderId="10" xfId="0" applyNumberFormat="1" applyFont="1" applyFill="1" applyBorder="1" applyAlignment="1">
      <alignment horizontal="right" vertical="center"/>
    </xf>
    <xf numFmtId="166" fontId="16" fillId="0" borderId="11" xfId="0" applyNumberFormat="1" applyFont="1" applyBorder="1" applyAlignment="1">
      <alignment vertical="center" wrapText="1"/>
    </xf>
    <xf numFmtId="166" fontId="16" fillId="0" borderId="12" xfId="0" applyNumberFormat="1" applyFont="1" applyBorder="1" applyAlignment="1">
      <alignment vertical="center" wrapText="1"/>
    </xf>
    <xf numFmtId="166" fontId="16" fillId="0" borderId="13" xfId="0" applyNumberFormat="1" applyFont="1" applyBorder="1" applyAlignment="1">
      <alignment vertical="center" wrapText="1"/>
    </xf>
    <xf numFmtId="166" fontId="16" fillId="0" borderId="6" xfId="0" applyNumberFormat="1" applyFont="1" applyBorder="1" applyAlignment="1">
      <alignment vertical="center" wrapText="1"/>
    </xf>
    <xf numFmtId="0" fontId="16" fillId="0" borderId="14" xfId="0" applyNumberFormat="1" applyFont="1" applyBorder="1" applyAlignment="1">
      <alignment vertical="center" wrapText="1" readingOrder="1"/>
    </xf>
    <xf numFmtId="0" fontId="16" fillId="0" borderId="15" xfId="0" applyNumberFormat="1" applyFont="1" applyBorder="1" applyAlignment="1">
      <alignment vertical="center" wrapText="1" readingOrder="1"/>
    </xf>
    <xf numFmtId="0" fontId="16" fillId="0" borderId="12" xfId="0" applyNumberFormat="1" applyFont="1" applyBorder="1" applyAlignment="1">
      <alignment vertical="center" wrapText="1" readingOrder="1"/>
    </xf>
    <xf numFmtId="49" fontId="16" fillId="0" borderId="12" xfId="0" applyNumberFormat="1" applyFont="1" applyBorder="1" applyAlignment="1">
      <alignment vertical="center" wrapText="1" readingOrder="1"/>
    </xf>
    <xf numFmtId="49" fontId="15" fillId="0" borderId="12" xfId="0" applyNumberFormat="1" applyFont="1" applyBorder="1" applyAlignment="1">
      <alignment horizontal="left" vertical="center" wrapText="1" readingOrder="1"/>
    </xf>
    <xf numFmtId="49" fontId="16" fillId="0" borderId="6" xfId="0" applyNumberFormat="1" applyFont="1" applyBorder="1" applyAlignment="1">
      <alignment horizontal="center" vertical="center" wrapText="1" readingOrder="1"/>
    </xf>
    <xf numFmtId="0" fontId="16" fillId="0" borderId="6" xfId="0" applyFont="1" applyBorder="1" applyAlignment="1">
      <alignment horizontal="center" vertical="center" wrapText="1" readingOrder="1"/>
    </xf>
    <xf numFmtId="49" fontId="16" fillId="0" borderId="6" xfId="0" applyNumberFormat="1" applyFont="1" applyBorder="1" applyAlignment="1">
      <alignment horizontal="right" vertical="center" wrapText="1" readingOrder="1"/>
    </xf>
    <xf numFmtId="0" fontId="16" fillId="0" borderId="6" xfId="0" applyFont="1" applyBorder="1" applyAlignment="1">
      <alignment horizontal="right" vertical="center" wrapText="1" readingOrder="1"/>
    </xf>
    <xf numFmtId="49" fontId="16" fillId="0" borderId="4" xfId="0" applyNumberFormat="1" applyFont="1" applyBorder="1" applyAlignment="1">
      <alignment vertical="center" wrapText="1" readingOrder="1"/>
    </xf>
    <xf numFmtId="168" fontId="16" fillId="0" borderId="6" xfId="0" applyNumberFormat="1" applyFont="1" applyBorder="1" applyAlignment="1">
      <alignment vertical="center" wrapText="1" readingOrder="1"/>
    </xf>
    <xf numFmtId="0" fontId="20" fillId="0" borderId="6" xfId="0" applyFont="1" applyBorder="1">
      <alignment vertical="top" wrapText="1"/>
    </xf>
    <xf numFmtId="9" fontId="16" fillId="0" borderId="6" xfId="0" applyNumberFormat="1" applyFont="1" applyBorder="1" applyAlignment="1">
      <alignment vertical="center" wrapText="1" readingOrder="1"/>
    </xf>
    <xf numFmtId="49" fontId="16" fillId="0" borderId="7" xfId="0" applyNumberFormat="1" applyFont="1" applyBorder="1" applyAlignment="1">
      <alignment vertical="center" wrapText="1" readingOrder="1"/>
    </xf>
    <xf numFmtId="49" fontId="16" fillId="4" borderId="10" xfId="0" applyNumberFormat="1" applyFont="1" applyFill="1" applyBorder="1" applyAlignment="1">
      <alignment horizontal="center" vertical="center" readingOrder="1"/>
    </xf>
    <xf numFmtId="49" fontId="15" fillId="4" borderId="10" xfId="0" applyNumberFormat="1" applyFont="1" applyFill="1" applyBorder="1" applyAlignment="1">
      <alignment horizontal="justify" vertical="center" wrapText="1" readingOrder="1"/>
    </xf>
    <xf numFmtId="4" fontId="16" fillId="4" borderId="10" xfId="0" applyNumberFormat="1" applyFont="1" applyFill="1" applyBorder="1" applyAlignment="1">
      <alignment horizontal="center" vertical="center" readingOrder="1"/>
    </xf>
    <xf numFmtId="0" fontId="20" fillId="0" borderId="13" xfId="0" applyFont="1" applyBorder="1">
      <alignment vertical="top" wrapText="1"/>
    </xf>
    <xf numFmtId="1" fontId="16" fillId="4" borderId="10" xfId="0" applyNumberFormat="1" applyFont="1" applyFill="1" applyBorder="1" applyAlignment="1">
      <alignment horizontal="center" vertical="center" readingOrder="1"/>
    </xf>
    <xf numFmtId="49" fontId="15" fillId="4" borderId="10" xfId="0" applyNumberFormat="1" applyFont="1" applyFill="1" applyBorder="1" applyAlignment="1">
      <alignment horizontal="left" vertical="center" wrapText="1" readingOrder="1"/>
    </xf>
    <xf numFmtId="1" fontId="19" fillId="4" borderId="10" xfId="0" applyNumberFormat="1" applyFont="1" applyFill="1" applyBorder="1" applyAlignment="1">
      <alignment horizontal="center" vertical="center" readingOrder="1"/>
    </xf>
    <xf numFmtId="0" fontId="0" fillId="0" borderId="6" xfId="0" applyBorder="1">
      <alignment vertical="top" wrapText="1"/>
    </xf>
    <xf numFmtId="49" fontId="15" fillId="0" borderId="6" xfId="0" applyNumberFormat="1" applyFont="1" applyBorder="1" applyAlignment="1">
      <alignment vertical="center" wrapText="1" readingOrder="1"/>
    </xf>
    <xf numFmtId="0" fontId="4" fillId="0" borderId="0" xfId="0" applyNumberFormat="1" applyFont="1" applyFill="1" applyAlignment="1">
      <alignment vertical="top"/>
    </xf>
    <xf numFmtId="0" fontId="0" fillId="0" borderId="0" xfId="0" applyFill="1">
      <alignment vertical="top" wrapText="1"/>
    </xf>
    <xf numFmtId="0" fontId="4" fillId="0" borderId="1" xfId="0" applyFont="1" applyFill="1" applyBorder="1" applyAlignment="1"/>
    <xf numFmtId="49" fontId="9" fillId="0" borderId="1" xfId="0" applyNumberFormat="1" applyFont="1" applyFill="1" applyBorder="1" applyAlignment="1">
      <alignment horizontal="right" vertical="center"/>
    </xf>
    <xf numFmtId="49" fontId="11" fillId="0" borderId="1" xfId="0" applyNumberFormat="1" applyFont="1" applyFill="1" applyBorder="1" applyAlignment="1">
      <alignment horizontal="left" vertical="center"/>
    </xf>
    <xf numFmtId="49" fontId="11" fillId="0" borderId="1" xfId="0" applyNumberFormat="1" applyFont="1" applyFill="1" applyBorder="1" applyAlignment="1">
      <alignment vertical="center"/>
    </xf>
    <xf numFmtId="0" fontId="4" fillId="0" borderId="1" xfId="0" applyFont="1" applyFill="1" applyBorder="1" applyAlignment="1">
      <alignment vertical="top"/>
    </xf>
    <xf numFmtId="0" fontId="17" fillId="4" borderId="17" xfId="0" applyFont="1" applyFill="1" applyBorder="1" applyAlignment="1"/>
    <xf numFmtId="0" fontId="18" fillId="4" borderId="17" xfId="0" applyFont="1" applyFill="1" applyBorder="1" applyAlignment="1">
      <alignment vertical="center"/>
    </xf>
    <xf numFmtId="0" fontId="14" fillId="4" borderId="2" xfId="0" applyFont="1" applyFill="1" applyBorder="1" applyAlignment="1"/>
    <xf numFmtId="0" fontId="14" fillId="4" borderId="2" xfId="0" applyFont="1" applyFill="1" applyBorder="1" applyAlignment="1">
      <alignment horizontal="left" vertical="center" wrapText="1"/>
    </xf>
    <xf numFmtId="4" fontId="17" fillId="4" borderId="17" xfId="0" applyNumberFormat="1" applyFont="1" applyFill="1" applyBorder="1" applyAlignment="1">
      <alignment vertical="center"/>
    </xf>
    <xf numFmtId="49" fontId="16" fillId="4" borderId="16" xfId="0" applyNumberFormat="1" applyFont="1" applyFill="1" applyBorder="1" applyAlignment="1">
      <alignment horizontal="right" vertical="center"/>
    </xf>
    <xf numFmtId="164" fontId="16" fillId="4" borderId="16" xfId="0" applyNumberFormat="1" applyFont="1" applyFill="1" applyBorder="1" applyAlignment="1">
      <alignment vertical="center"/>
    </xf>
    <xf numFmtId="9" fontId="16" fillId="4" borderId="16" xfId="0" applyNumberFormat="1" applyFont="1" applyFill="1" applyBorder="1" applyAlignment="1">
      <alignment horizontal="center" vertical="center"/>
    </xf>
    <xf numFmtId="0" fontId="16" fillId="4" borderId="16" xfId="0" applyFont="1" applyFill="1" applyBorder="1" applyAlignment="1">
      <alignment vertical="center"/>
    </xf>
    <xf numFmtId="0" fontId="14" fillId="4" borderId="19" xfId="0" applyFont="1" applyFill="1" applyBorder="1" applyAlignment="1"/>
    <xf numFmtId="0" fontId="4" fillId="0" borderId="2" xfId="0" applyFont="1" applyFill="1" applyBorder="1" applyAlignment="1"/>
    <xf numFmtId="49" fontId="6" fillId="0" borderId="2" xfId="0" applyNumberFormat="1" applyFont="1" applyFill="1" applyBorder="1">
      <alignment vertical="top" wrapText="1"/>
    </xf>
    <xf numFmtId="49" fontId="7" fillId="0" borderId="2" xfId="0" applyNumberFormat="1" applyFont="1" applyFill="1" applyBorder="1" applyAlignment="1">
      <alignment horizontal="left" vertical="center"/>
    </xf>
    <xf numFmtId="49" fontId="6" fillId="0" borderId="2" xfId="0" applyNumberFormat="1" applyFont="1" applyFill="1" applyBorder="1" applyAlignment="1">
      <alignment horizontal="left" vertical="top" wrapText="1"/>
    </xf>
    <xf numFmtId="49" fontId="8" fillId="0" borderId="2" xfId="0" applyNumberFormat="1" applyFont="1" applyFill="1" applyBorder="1">
      <alignment vertical="top" wrapText="1"/>
    </xf>
    <xf numFmtId="49" fontId="9" fillId="0" borderId="2" xfId="0" applyNumberFormat="1" applyFont="1" applyFill="1" applyBorder="1">
      <alignment vertical="top" wrapText="1"/>
    </xf>
    <xf numFmtId="4" fontId="7" fillId="0" borderId="2" xfId="0" applyNumberFormat="1" applyFont="1" applyFill="1" applyBorder="1" applyAlignment="1">
      <alignment horizontal="left" vertical="center"/>
    </xf>
    <xf numFmtId="4" fontId="10" fillId="0" borderId="2" xfId="0" applyNumberFormat="1" applyFont="1" applyFill="1" applyBorder="1" applyAlignment="1">
      <alignment vertical="center"/>
    </xf>
    <xf numFmtId="0" fontId="15" fillId="0" borderId="2" xfId="0" applyFont="1" applyBorder="1" applyAlignment="1">
      <alignment horizontal="right" vertical="center" wrapText="1"/>
    </xf>
    <xf numFmtId="0" fontId="15" fillId="0" borderId="2" xfId="0" applyFont="1" applyBorder="1">
      <alignment vertical="top" wrapText="1"/>
    </xf>
    <xf numFmtId="49" fontId="24" fillId="0" borderId="2" xfId="0" applyNumberFormat="1" applyFont="1" applyFill="1" applyBorder="1">
      <alignment vertical="top" wrapText="1"/>
    </xf>
    <xf numFmtId="4" fontId="26" fillId="0" borderId="2" xfId="0" applyNumberFormat="1" applyFont="1" applyFill="1" applyBorder="1" applyAlignment="1">
      <alignment horizontal="left" vertical="center"/>
    </xf>
    <xf numFmtId="4" fontId="27" fillId="0" borderId="2" xfId="0" applyNumberFormat="1" applyFont="1" applyFill="1" applyBorder="1" applyAlignment="1">
      <alignment vertical="center"/>
    </xf>
    <xf numFmtId="0" fontId="20" fillId="0" borderId="2" xfId="0" applyFont="1" applyBorder="1">
      <alignment vertical="top" wrapText="1"/>
    </xf>
    <xf numFmtId="0" fontId="28" fillId="0" borderId="2" xfId="0" applyFont="1" applyBorder="1" applyAlignment="1">
      <alignment horizontal="left" vertical="top" wrapText="1"/>
    </xf>
    <xf numFmtId="0" fontId="14" fillId="0" borderId="2" xfId="0" applyFont="1" applyBorder="1" applyAlignment="1">
      <alignment horizontal="left" vertical="center" wrapText="1"/>
    </xf>
    <xf numFmtId="0" fontId="15" fillId="0" borderId="2" xfId="0" applyFont="1" applyBorder="1" applyAlignment="1">
      <alignment vertical="center" wrapText="1"/>
    </xf>
    <xf numFmtId="4" fontId="6" fillId="0" borderId="2" xfId="0" applyNumberFormat="1" applyFont="1" applyFill="1" applyBorder="1" applyAlignment="1">
      <alignment vertical="top"/>
    </xf>
    <xf numFmtId="4" fontId="4" fillId="0" borderId="2" xfId="0" applyNumberFormat="1" applyFont="1" applyFill="1" applyBorder="1" applyAlignment="1">
      <alignment vertical="center"/>
    </xf>
    <xf numFmtId="4" fontId="15" fillId="0" borderId="2" xfId="0" applyNumberFormat="1" applyFont="1" applyFill="1" applyBorder="1" applyAlignment="1">
      <alignment vertical="center"/>
    </xf>
    <xf numFmtId="0" fontId="15" fillId="0" borderId="2" xfId="0" applyFont="1" applyBorder="1" applyAlignment="1">
      <alignment horizontal="left" vertical="center" wrapText="1"/>
    </xf>
    <xf numFmtId="49" fontId="9" fillId="0" borderId="2" xfId="0" applyNumberFormat="1" applyFont="1" applyFill="1" applyBorder="1" applyAlignment="1">
      <alignment horizontal="right" vertical="center"/>
    </xf>
    <xf numFmtId="49" fontId="16" fillId="4" borderId="18" xfId="0" applyNumberFormat="1" applyFont="1" applyFill="1" applyBorder="1" applyAlignment="1">
      <alignment horizontal="right" vertical="center"/>
    </xf>
    <xf numFmtId="49" fontId="16" fillId="4" borderId="29" xfId="0" applyNumberFormat="1" applyFont="1" applyFill="1" applyBorder="1" applyAlignment="1">
      <alignment horizontal="right" vertical="center"/>
    </xf>
    <xf numFmtId="0" fontId="14" fillId="4" borderId="16" xfId="0" applyFont="1" applyFill="1" applyBorder="1" applyAlignment="1">
      <alignment vertical="center"/>
    </xf>
    <xf numFmtId="49" fontId="14" fillId="4" borderId="16" xfId="0" applyNumberFormat="1" applyFont="1" applyFill="1" applyBorder="1" applyAlignment="1">
      <alignment horizontal="center" vertical="center" readingOrder="1"/>
    </xf>
    <xf numFmtId="1" fontId="14" fillId="4" borderId="16" xfId="0" applyNumberFormat="1" applyFont="1" applyFill="1" applyBorder="1" applyAlignment="1">
      <alignment horizontal="center" vertical="center" readingOrder="1"/>
    </xf>
    <xf numFmtId="3" fontId="15" fillId="4" borderId="16" xfId="0" applyNumberFormat="1" applyFont="1" applyFill="1" applyBorder="1" applyAlignment="1">
      <alignment horizontal="center" vertical="center"/>
    </xf>
    <xf numFmtId="164" fontId="15" fillId="4" borderId="16" xfId="0" applyNumberFormat="1" applyFont="1" applyFill="1" applyBorder="1" applyAlignment="1">
      <alignment horizontal="left" vertical="center" readingOrder="1"/>
    </xf>
    <xf numFmtId="164" fontId="15" fillId="4" borderId="16" xfId="0" applyNumberFormat="1" applyFont="1" applyFill="1" applyBorder="1" applyAlignment="1">
      <alignment horizontal="right" vertical="center"/>
    </xf>
    <xf numFmtId="1" fontId="14" fillId="4" borderId="16" xfId="0" applyNumberFormat="1" applyFont="1" applyFill="1" applyBorder="1" applyAlignment="1">
      <alignment horizontal="center" vertical="center"/>
    </xf>
    <xf numFmtId="1" fontId="14" fillId="4" borderId="16" xfId="0" applyNumberFormat="1" applyFont="1" applyFill="1" applyBorder="1" applyAlignment="1">
      <alignment horizontal="justify" vertical="center"/>
    </xf>
    <xf numFmtId="1" fontId="14" fillId="0" borderId="16" xfId="0" applyNumberFormat="1" applyFont="1" applyFill="1" applyBorder="1" applyAlignment="1">
      <alignment horizontal="justify" vertical="center"/>
    </xf>
    <xf numFmtId="49" fontId="14" fillId="0" borderId="16" xfId="0" applyNumberFormat="1" applyFont="1" applyFill="1" applyBorder="1" applyAlignment="1">
      <alignment horizontal="center" vertical="center" readingOrder="1"/>
    </xf>
    <xf numFmtId="1" fontId="14" fillId="0" borderId="16" xfId="0" applyNumberFormat="1" applyFont="1" applyFill="1" applyBorder="1" applyAlignment="1">
      <alignment horizontal="center" vertical="center"/>
    </xf>
    <xf numFmtId="1" fontId="14" fillId="0" borderId="16" xfId="0" applyNumberFormat="1" applyFont="1" applyFill="1" applyBorder="1" applyAlignment="1">
      <alignment horizontal="justify"/>
    </xf>
    <xf numFmtId="1" fontId="14" fillId="0" borderId="16" xfId="0" applyNumberFormat="1" applyFont="1" applyFill="1" applyBorder="1" applyAlignment="1">
      <alignment horizontal="center"/>
    </xf>
    <xf numFmtId="0" fontId="4" fillId="0" borderId="2" xfId="0" applyNumberFormat="1" applyFont="1" applyBorder="1" applyAlignment="1">
      <alignment vertical="top"/>
    </xf>
    <xf numFmtId="49" fontId="9" fillId="0" borderId="34" xfId="0" applyNumberFormat="1" applyFont="1" applyBorder="1" applyAlignment="1">
      <alignment horizontal="center" vertical="center"/>
    </xf>
    <xf numFmtId="0" fontId="13" fillId="0" borderId="34" xfId="0" applyFont="1" applyBorder="1" applyAlignment="1">
      <alignment horizontal="center" vertical="center"/>
    </xf>
    <xf numFmtId="0" fontId="12" fillId="6" borderId="35" xfId="0" applyFont="1" applyFill="1" applyBorder="1" applyAlignment="1">
      <alignment horizontal="center" vertical="center"/>
    </xf>
    <xf numFmtId="0" fontId="12" fillId="6" borderId="36" xfId="0" applyFont="1" applyFill="1" applyBorder="1" applyAlignment="1">
      <alignment horizontal="center" vertical="center"/>
    </xf>
    <xf numFmtId="0" fontId="32" fillId="0" borderId="22" xfId="0" applyFont="1" applyBorder="1" applyAlignment="1">
      <alignment horizontal="right" vertical="center" wrapText="1"/>
    </xf>
    <xf numFmtId="4" fontId="32" fillId="0" borderId="24" xfId="0" applyNumberFormat="1" applyFont="1" applyFill="1" applyBorder="1" applyAlignment="1">
      <alignment vertical="center"/>
    </xf>
    <xf numFmtId="0" fontId="32" fillId="0" borderId="37" xfId="0" applyFont="1" applyBorder="1" applyAlignment="1">
      <alignment horizontal="right" vertical="center" wrapText="1"/>
    </xf>
    <xf numFmtId="4" fontId="32" fillId="0" borderId="20" xfId="0" applyNumberFormat="1" applyFont="1" applyFill="1" applyBorder="1" applyAlignment="1">
      <alignment vertical="center"/>
    </xf>
    <xf numFmtId="0" fontId="32" fillId="0" borderId="25" xfId="0" applyFont="1" applyBorder="1" applyAlignment="1">
      <alignment horizontal="right" vertical="center" wrapText="1"/>
    </xf>
    <xf numFmtId="4" fontId="32" fillId="0" borderId="26" xfId="0" applyNumberFormat="1" applyFont="1" applyFill="1" applyBorder="1" applyAlignment="1">
      <alignment vertical="center"/>
    </xf>
    <xf numFmtId="0" fontId="32" fillId="0" borderId="27" xfId="0" applyFont="1" applyBorder="1" applyAlignment="1">
      <alignment horizontal="right" vertical="center" wrapText="1"/>
    </xf>
    <xf numFmtId="4" fontId="32" fillId="0" borderId="21" xfId="0" applyNumberFormat="1" applyFont="1" applyFill="1" applyBorder="1" applyAlignment="1">
      <alignment vertical="center"/>
    </xf>
    <xf numFmtId="0" fontId="33" fillId="0" borderId="2" xfId="0" applyFont="1" applyBorder="1" applyAlignment="1">
      <alignment horizontal="left" vertical="center" wrapText="1"/>
    </xf>
    <xf numFmtId="0" fontId="32" fillId="0" borderId="2" xfId="0" applyFont="1" applyBorder="1" applyAlignment="1">
      <alignment horizontal="left" vertical="top" wrapText="1"/>
    </xf>
    <xf numFmtId="4" fontId="34" fillId="0" borderId="2" xfId="0" applyNumberFormat="1" applyFont="1" applyFill="1" applyBorder="1" applyAlignment="1">
      <alignment horizontal="left" vertical="center"/>
    </xf>
    <xf numFmtId="4" fontId="32" fillId="0" borderId="2" xfId="0" applyNumberFormat="1" applyFont="1" applyFill="1" applyBorder="1" applyAlignment="1">
      <alignment horizontal="left" vertical="center"/>
    </xf>
    <xf numFmtId="3" fontId="20" fillId="4" borderId="16" xfId="0" applyNumberFormat="1" applyFont="1" applyFill="1" applyBorder="1" applyAlignment="1">
      <alignment horizontal="center" vertical="center"/>
    </xf>
    <xf numFmtId="0" fontId="1" fillId="0" borderId="0" xfId="0" applyFont="1" applyAlignment="1">
      <alignment horizontal="left" vertical="top" wrapText="1"/>
    </xf>
    <xf numFmtId="0" fontId="0" fillId="0" borderId="0" xfId="0">
      <alignment vertical="top" wrapText="1"/>
    </xf>
    <xf numFmtId="49" fontId="5" fillId="0" borderId="2" xfId="0" applyNumberFormat="1" applyFont="1" applyBorder="1" applyAlignment="1">
      <alignment horizontal="center" vertical="center"/>
    </xf>
    <xf numFmtId="49" fontId="13" fillId="0" borderId="34" xfId="0" applyNumberFormat="1" applyFont="1" applyBorder="1" applyAlignment="1">
      <alignment horizontal="center" vertical="center"/>
    </xf>
    <xf numFmtId="0" fontId="4" fillId="0" borderId="34" xfId="0" applyFont="1" applyBorder="1" applyAlignment="1">
      <alignment vertical="top"/>
    </xf>
    <xf numFmtId="169" fontId="17" fillId="4" borderId="3" xfId="0" applyNumberFormat="1" applyFont="1" applyFill="1" applyBorder="1" applyAlignment="1">
      <alignment horizontal="left" vertical="center" wrapText="1"/>
    </xf>
    <xf numFmtId="169" fontId="22" fillId="5" borderId="3" xfId="0" applyNumberFormat="1" applyFont="1" applyFill="1" applyBorder="1">
      <alignment vertical="top" wrapText="1"/>
    </xf>
    <xf numFmtId="49" fontId="6" fillId="0" borderId="2" xfId="0" applyNumberFormat="1" applyFont="1" applyFill="1" applyBorder="1" applyAlignment="1">
      <alignment horizontal="left" vertical="center"/>
    </xf>
    <xf numFmtId="0" fontId="4" fillId="0" borderId="2" xfId="0" applyFont="1" applyFill="1" applyBorder="1" applyAlignment="1">
      <alignment vertical="top"/>
    </xf>
    <xf numFmtId="169" fontId="6" fillId="0" borderId="2" xfId="0" applyNumberFormat="1" applyFont="1" applyFill="1" applyBorder="1" applyAlignment="1">
      <alignment horizontal="left" vertical="center"/>
    </xf>
    <xf numFmtId="169" fontId="4" fillId="0" borderId="2" xfId="0" applyNumberFormat="1" applyFont="1" applyFill="1" applyBorder="1" applyAlignment="1">
      <alignment vertical="top"/>
    </xf>
    <xf numFmtId="49" fontId="13" fillId="6" borderId="30" xfId="0" applyNumberFormat="1" applyFont="1" applyFill="1" applyBorder="1" applyAlignment="1">
      <alignment horizontal="center" vertical="center" wrapText="1"/>
    </xf>
    <xf numFmtId="49" fontId="13" fillId="6" borderId="31" xfId="0" applyNumberFormat="1" applyFont="1" applyFill="1" applyBorder="1" applyAlignment="1">
      <alignment horizontal="center" vertical="center" wrapText="1"/>
    </xf>
    <xf numFmtId="0" fontId="4" fillId="6" borderId="31" xfId="0" applyFont="1" applyFill="1" applyBorder="1" applyAlignment="1">
      <alignment vertical="top"/>
    </xf>
    <xf numFmtId="0" fontId="4" fillId="6" borderId="18" xfId="0" applyFont="1" applyFill="1" applyBorder="1" applyAlignment="1">
      <alignment vertical="top"/>
    </xf>
    <xf numFmtId="0" fontId="35" fillId="0" borderId="2" xfId="0" applyFont="1" applyBorder="1" applyAlignment="1">
      <alignment horizontal="left" vertical="center" wrapText="1"/>
    </xf>
    <xf numFmtId="0" fontId="33" fillId="0" borderId="2" xfId="0" applyFont="1" applyBorder="1" applyAlignment="1">
      <alignment horizontal="left" vertical="center" wrapText="1"/>
    </xf>
    <xf numFmtId="0" fontId="31" fillId="0" borderId="2" xfId="0" applyFont="1" applyBorder="1" applyAlignment="1">
      <alignment horizontal="center" vertical="center" wrapText="1"/>
    </xf>
    <xf numFmtId="49" fontId="9" fillId="0" borderId="32" xfId="0" applyNumberFormat="1" applyFont="1" applyBorder="1" applyAlignment="1">
      <alignment horizontal="center" vertical="center"/>
    </xf>
    <xf numFmtId="49" fontId="9" fillId="0" borderId="2" xfId="0" applyNumberFormat="1" applyFont="1" applyBorder="1" applyAlignment="1">
      <alignment horizontal="center" vertical="center"/>
    </xf>
    <xf numFmtId="49" fontId="9" fillId="0" borderId="33" xfId="0" applyNumberFormat="1" applyFont="1" applyBorder="1" applyAlignment="1">
      <alignment horizontal="center" vertical="center"/>
    </xf>
    <xf numFmtId="170" fontId="32" fillId="0" borderId="27" xfId="0" applyNumberFormat="1" applyFont="1" applyBorder="1" applyAlignment="1">
      <alignment horizontal="center" vertical="center" wrapText="1"/>
    </xf>
    <xf numFmtId="170" fontId="32" fillId="0" borderId="28" xfId="0" applyNumberFormat="1" applyFont="1" applyBorder="1" applyAlignment="1">
      <alignment horizontal="center" vertical="center" wrapText="1"/>
    </xf>
    <xf numFmtId="0" fontId="32" fillId="0" borderId="22" xfId="0" applyFont="1" applyBorder="1" applyAlignment="1">
      <alignment horizontal="center" vertical="center" wrapText="1"/>
    </xf>
    <xf numFmtId="0" fontId="32" fillId="0" borderId="23" xfId="0" applyFont="1" applyBorder="1" applyAlignment="1">
      <alignment horizontal="center" vertical="center" wrapText="1"/>
    </xf>
    <xf numFmtId="0" fontId="32" fillId="0" borderId="37" xfId="0" applyFont="1" applyBorder="1" applyAlignment="1">
      <alignment horizontal="center" vertical="center" wrapText="1"/>
    </xf>
    <xf numFmtId="0" fontId="32" fillId="0" borderId="38" xfId="0" applyFont="1" applyBorder="1" applyAlignment="1">
      <alignment horizontal="center" vertical="center" wrapText="1"/>
    </xf>
    <xf numFmtId="0" fontId="32" fillId="0" borderId="25" xfId="0" applyFont="1" applyBorder="1" applyAlignment="1">
      <alignment horizontal="center" vertical="center" wrapText="1"/>
    </xf>
    <xf numFmtId="0" fontId="32" fillId="0" borderId="2" xfId="0" applyFont="1" applyBorder="1" applyAlignment="1">
      <alignment horizontal="center" vertical="center" wrapText="1"/>
    </xf>
    <xf numFmtId="0" fontId="36" fillId="0" borderId="2" xfId="1" applyFont="1" applyBorder="1" applyAlignment="1">
      <alignment horizontal="left" vertical="center" wrapText="1"/>
    </xf>
    <xf numFmtId="49" fontId="18" fillId="4" borderId="39" xfId="0" applyNumberFormat="1" applyFont="1" applyFill="1" applyBorder="1" applyAlignment="1">
      <alignment horizontal="center" vertical="center" wrapText="1"/>
    </xf>
    <xf numFmtId="49" fontId="18" fillId="4" borderId="40" xfId="0" applyNumberFormat="1" applyFont="1" applyFill="1" applyBorder="1" applyAlignment="1">
      <alignment horizontal="center" vertical="center" wrapText="1"/>
    </xf>
    <xf numFmtId="49" fontId="18" fillId="4" borderId="41" xfId="0" applyNumberFormat="1" applyFont="1" applyFill="1" applyBorder="1" applyAlignment="1">
      <alignment horizontal="center" vertical="center" wrapText="1"/>
    </xf>
    <xf numFmtId="0" fontId="11" fillId="0" borderId="1" xfId="0" applyNumberFormat="1" applyFont="1" applyFill="1" applyBorder="1" applyAlignment="1">
      <alignment horizontal="left" vertical="center"/>
    </xf>
    <xf numFmtId="0" fontId="28" fillId="0" borderId="2" xfId="0" applyFont="1" applyBorder="1" applyAlignment="1">
      <alignment horizontal="left" vertical="top" wrapText="1"/>
    </xf>
    <xf numFmtId="49" fontId="14" fillId="4" borderId="16" xfId="0" applyNumberFormat="1" applyFont="1" applyFill="1" applyBorder="1" applyAlignment="1">
      <alignment horizontal="center" vertical="center" readingOrder="1"/>
    </xf>
    <xf numFmtId="49" fontId="20" fillId="4" borderId="16" xfId="0" applyNumberFormat="1" applyFont="1" applyFill="1" applyBorder="1" applyAlignment="1">
      <alignment horizontal="left" vertical="center" wrapText="1" readingOrder="1"/>
    </xf>
    <xf numFmtId="49" fontId="20" fillId="4" borderId="16" xfId="0" applyNumberFormat="1" applyFont="1" applyFill="1" applyBorder="1" applyAlignment="1">
      <alignment horizontal="left" vertical="center" readingOrder="1"/>
    </xf>
    <xf numFmtId="49" fontId="37" fillId="4" borderId="16" xfId="0" applyNumberFormat="1" applyFont="1" applyFill="1" applyBorder="1" applyAlignment="1">
      <alignment vertical="center" wrapText="1" readingOrder="1"/>
    </xf>
    <xf numFmtId="49" fontId="20" fillId="4" borderId="16" xfId="0" applyNumberFormat="1" applyFont="1" applyFill="1" applyBorder="1" applyAlignment="1">
      <alignment vertical="center" wrapText="1" readingOrder="1"/>
    </xf>
  </cellXfs>
  <cellStyles count="2">
    <cellStyle name="Hipervínculo" xfId="1" builtinId="8"/>
    <cellStyle name="Normal" xfId="0" builtinId="0"/>
  </cellStyles>
  <dxfs count="1">
    <dxf>
      <font>
        <color rgb="FFFEFEFE"/>
      </font>
    </dxf>
  </dxfs>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EFEFE"/>
      <rgbColor rgb="FFEAEAEA"/>
      <rgbColor rgb="FFE62300"/>
      <rgbColor rgb="FFBFBFBF"/>
      <rgbColor rgb="FF032ADC"/>
      <rgbColor rgb="FF477FCD"/>
      <rgbColor rgb="FF467FCC"/>
      <rgbColor rgb="FF467FCD"/>
      <rgbColor rgb="FF7F7F7F"/>
      <rgbColor rgb="FFFF5F5D"/>
      <rgbColor rgb="FFA5A5A5"/>
      <rgbColor rgb="FF3F3F3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406728</xdr:colOff>
      <xdr:row>19</xdr:row>
      <xdr:rowOff>135769</xdr:rowOff>
    </xdr:from>
    <xdr:to>
      <xdr:col>11</xdr:col>
      <xdr:colOff>1782600</xdr:colOff>
      <xdr:row>24</xdr:row>
      <xdr:rowOff>108071</xdr:rowOff>
    </xdr:to>
    <xdr:sp macro="" textlink="">
      <xdr:nvSpPr>
        <xdr:cNvPr id="5" name="Shape 5">
          <a:extLst>
            <a:ext uri="{FF2B5EF4-FFF2-40B4-BE49-F238E27FC236}">
              <a16:creationId xmlns:a16="http://schemas.microsoft.com/office/drawing/2014/main" id="{00000000-0008-0000-0100-000005000000}"/>
            </a:ext>
          </a:extLst>
        </xdr:cNvPr>
        <xdr:cNvSpPr txBox="1"/>
      </xdr:nvSpPr>
      <xdr:spPr>
        <a:xfrm>
          <a:off x="6321753" y="3621919"/>
          <a:ext cx="1375872" cy="353302"/>
        </a:xfrm>
        <a:prstGeom prst="rect">
          <a:avLst/>
        </a:prstGeom>
        <a:noFill/>
        <a:ln w="12700" cap="flat">
          <a:noFill/>
          <a:miter lim="400000"/>
        </a:ln>
        <a:effectLst/>
        <a:extLst>
          <a:ext uri="{C572A759-6A51-4108-AA02-DFA0A04FC94B}">
            <ma14:wrappingTextBoxFlag xmlns="" xmlns:r="http://schemas.openxmlformats.org/officeDocument/2006/relationships" xmlns:m="http://schemas.openxmlformats.org/officeDocument/2006/math" xmlns:a14="http://schemas.microsoft.com/office/drawing/2010/main" xmlns:ma14="http://schemas.microsoft.com/office/mac/drawingml/2011/main" val="1"/>
          </a:ext>
        </a:extLst>
      </xdr:spPr>
      <xdr:txBody>
        <a:bodyPr wrap="square" lIns="50800" tIns="50800" rIns="50800" bIns="50800" numCol="1" anchor="ctr">
          <a:spAutoFit/>
        </a:bodyPr>
        <a:lstStyle/>
        <a:p>
          <a:pPr marL="0" marR="0" indent="0" algn="ctr" defTabSz="457200" latinLnBrk="0">
            <a:lnSpc>
              <a:spcPct val="100000"/>
            </a:lnSpc>
            <a:spcBef>
              <a:spcPts val="0"/>
            </a:spcBef>
            <a:spcAft>
              <a:spcPts val="0"/>
            </a:spcAft>
            <a:buClrTx/>
            <a:buSzTx/>
            <a:buFontTx/>
            <a:buNone/>
            <a:tabLst/>
            <a:defRPr sz="1700" b="0" i="0" u="none" strike="noStrike" cap="none" spc="0" baseline="0">
              <a:solidFill>
                <a:schemeClr val="accent5">
                  <a:hueOff val="-152372"/>
                  <a:lumOff val="11860"/>
                </a:schemeClr>
              </a:solidFill>
              <a:uFillTx/>
              <a:latin typeface="+mn-lt"/>
              <a:ea typeface="+mn-ea"/>
              <a:cs typeface="+mn-cs"/>
              <a:sym typeface="Helvetica"/>
            </a:defRPr>
          </a:pPr>
          <a:endParaRPr sz="1700" b="0" i="0" u="none" strike="noStrike" cap="none" spc="0" baseline="0">
            <a:solidFill>
              <a:schemeClr val="accent5">
                <a:hueOff val="-152372"/>
                <a:lumOff val="11860"/>
              </a:schemeClr>
            </a:solidFill>
            <a:uFillTx/>
            <a:latin typeface="+mn-lt"/>
            <a:ea typeface="+mn-ea"/>
            <a:cs typeface="+mn-cs"/>
            <a:sym typeface="Helvetica"/>
          </a:endParaRPr>
        </a:p>
      </xdr:txBody>
    </xdr:sp>
    <xdr:clientData/>
  </xdr:twoCellAnchor>
  <xdr:twoCellAnchor editAs="oneCell">
    <xdr:from>
      <xdr:col>0</xdr:col>
      <xdr:colOff>100293</xdr:colOff>
      <xdr:row>7</xdr:row>
      <xdr:rowOff>56030</xdr:rowOff>
    </xdr:from>
    <xdr:to>
      <xdr:col>11</xdr:col>
      <xdr:colOff>1992321</xdr:colOff>
      <xdr:row>19</xdr:row>
      <xdr:rowOff>114300</xdr:rowOff>
    </xdr:to>
    <xdr:pic>
      <xdr:nvPicPr>
        <xdr:cNvPr id="8" name="Imagen 7">
          <a:extLst>
            <a:ext uri="{FF2B5EF4-FFF2-40B4-BE49-F238E27FC236}">
              <a16:creationId xmlns:a16="http://schemas.microsoft.com/office/drawing/2014/main" id="{71C91158-B565-E359-FE2D-608362F534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3" y="1332380"/>
          <a:ext cx="7832453" cy="2268070"/>
        </a:xfrm>
        <a:prstGeom prst="rect">
          <a:avLst/>
        </a:prstGeom>
        <a:noFill/>
        <a:ln>
          <a:noFill/>
        </a:ln>
      </xdr:spPr>
    </xdr:pic>
    <xdr:clientData/>
  </xdr:twoCellAnchor>
  <xdr:twoCellAnchor editAs="oneCell">
    <xdr:from>
      <xdr:col>0</xdr:col>
      <xdr:colOff>0</xdr:colOff>
      <xdr:row>63</xdr:row>
      <xdr:rowOff>0</xdr:rowOff>
    </xdr:from>
    <xdr:to>
      <xdr:col>4</xdr:col>
      <xdr:colOff>1238250</xdr:colOff>
      <xdr:row>66</xdr:row>
      <xdr:rowOff>37144</xdr:rowOff>
    </xdr:to>
    <xdr:pic>
      <xdr:nvPicPr>
        <xdr:cNvPr id="9" name="Imagen 8">
          <a:extLst>
            <a:ext uri="{FF2B5EF4-FFF2-40B4-BE49-F238E27FC236}">
              <a16:creationId xmlns:a16="http://schemas.microsoft.com/office/drawing/2014/main" id="{79DEDBF6-D6D1-E80C-81DD-A6041CF5C4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3344526"/>
          <a:ext cx="1924050" cy="608644"/>
        </a:xfrm>
        <a:prstGeom prst="rect">
          <a:avLst/>
        </a:prstGeom>
        <a:noFill/>
        <a:ln>
          <a:noFill/>
        </a:ln>
      </xdr:spPr>
    </xdr:pic>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rogam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heetViews>
  <sheetFormatPr baseColWidth="10" defaultColWidth="10" defaultRowHeight="13" customHeight="1" x14ac:dyDescent="0.15"/>
  <cols>
    <col min="1" max="1" width="2" customWidth="1"/>
    <col min="2" max="4" width="33.6640625" customWidth="1"/>
  </cols>
  <sheetData>
    <row r="3" spans="2:4" ht="50" customHeight="1" x14ac:dyDescent="0.15">
      <c r="B3" s="133" t="s">
        <v>0</v>
      </c>
      <c r="C3" s="134"/>
      <c r="D3" s="134"/>
    </row>
    <row r="7" spans="2:4" ht="38" x14ac:dyDescent="0.15">
      <c r="B7" s="1" t="s">
        <v>1</v>
      </c>
      <c r="C7" s="1" t="s">
        <v>2</v>
      </c>
      <c r="D7" s="1" t="s">
        <v>3</v>
      </c>
    </row>
    <row r="9" spans="2:4" ht="17" x14ac:dyDescent="0.15">
      <c r="B9" s="2" t="s">
        <v>4</v>
      </c>
      <c r="C9" s="2"/>
      <c r="D9" s="2"/>
    </row>
    <row r="10" spans="2:4" ht="17" x14ac:dyDescent="0.15">
      <c r="B10" s="3"/>
      <c r="C10" s="3" t="s">
        <v>5</v>
      </c>
      <c r="D10" s="4" t="s">
        <v>4</v>
      </c>
    </row>
    <row r="11" spans="2:4" ht="17" x14ac:dyDescent="0.15">
      <c r="B11" s="2" t="s">
        <v>20</v>
      </c>
      <c r="C11" s="2"/>
      <c r="D11" s="2"/>
    </row>
    <row r="12" spans="2:4" ht="17" x14ac:dyDescent="0.15">
      <c r="B12" s="3"/>
      <c r="C12" s="3" t="s">
        <v>5</v>
      </c>
      <c r="D12" s="4" t="s">
        <v>20</v>
      </c>
    </row>
  </sheetData>
  <mergeCells count="1">
    <mergeCell ref="B3:D3"/>
  </mergeCells>
  <hyperlinks>
    <hyperlink ref="D10" location="'PRESUPUESTO'!R1C1" display="PRESUPUESTO" xr:uid="{00000000-0004-0000-0000-000000000000}"/>
    <hyperlink ref="D12" location="'base de datos '!R1C1" display="base de datos " xr:uid="{00000000-0004-0000-0000-000001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Z86"/>
  <sheetViews>
    <sheetView showGridLines="0" tabSelected="1" view="pageLayout" topLeftCell="A64" zoomScaleNormal="85" workbookViewId="0">
      <selection activeCell="A60" sqref="A60:XFD60"/>
    </sheetView>
  </sheetViews>
  <sheetFormatPr baseColWidth="10" defaultColWidth="8.1640625" defaultRowHeight="14.5" customHeight="1" x14ac:dyDescent="0.15"/>
  <cols>
    <col min="1" max="1" width="3.83203125" style="5" customWidth="1"/>
    <col min="2" max="2" width="3.33203125" style="5" customWidth="1"/>
    <col min="3" max="3" width="2.6640625" style="5" customWidth="1"/>
    <col min="4" max="4" width="7.6640625" style="5" hidden="1" customWidth="1"/>
    <col min="5" max="5" width="26" style="5" customWidth="1"/>
    <col min="6" max="8" width="7" style="5" customWidth="1"/>
    <col min="9" max="9" width="2.33203125" style="5" customWidth="1"/>
    <col min="10" max="10" width="13.1640625" style="5" customWidth="1"/>
    <col min="11" max="11" width="12.6640625" style="5" customWidth="1"/>
    <col min="12" max="12" width="28.83203125" style="5" customWidth="1"/>
    <col min="13" max="13" width="2.83203125" style="5" customWidth="1"/>
    <col min="14" max="260" width="8.1640625" style="5" customWidth="1"/>
  </cols>
  <sheetData>
    <row r="1" spans="1:260" ht="16.5" customHeight="1" x14ac:dyDescent="0.15">
      <c r="A1" s="135"/>
      <c r="B1" s="135"/>
      <c r="C1" s="135"/>
      <c r="D1" s="135"/>
      <c r="E1" s="135"/>
      <c r="F1" s="135"/>
      <c r="G1" s="135"/>
      <c r="H1" s="135"/>
      <c r="I1" s="135"/>
      <c r="J1" s="135"/>
      <c r="K1" s="135"/>
      <c r="L1" s="135"/>
    </row>
    <row r="2" spans="1:260" s="62" customFormat="1" ht="9" customHeight="1" x14ac:dyDescent="0.2">
      <c r="A2" s="78"/>
      <c r="B2" s="78"/>
      <c r="C2" s="78"/>
      <c r="D2" s="78"/>
      <c r="E2" s="79"/>
      <c r="F2" s="79"/>
      <c r="G2" s="79"/>
      <c r="H2" s="79"/>
      <c r="I2" s="79"/>
      <c r="J2" s="95"/>
      <c r="K2" s="95"/>
      <c r="L2" s="95"/>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c r="BU2" s="61"/>
      <c r="BV2" s="61"/>
      <c r="BW2" s="61"/>
      <c r="BX2" s="61"/>
      <c r="BY2" s="61"/>
      <c r="BZ2" s="61"/>
      <c r="CA2" s="61"/>
      <c r="CB2" s="61"/>
      <c r="CC2" s="61"/>
      <c r="CD2" s="61"/>
      <c r="CE2" s="61"/>
      <c r="CF2" s="61"/>
      <c r="CG2" s="61"/>
      <c r="CH2" s="61"/>
      <c r="CI2" s="61"/>
      <c r="CJ2" s="61"/>
      <c r="CK2" s="61"/>
      <c r="CL2" s="61"/>
      <c r="CM2" s="61"/>
      <c r="CN2" s="61"/>
      <c r="CO2" s="61"/>
      <c r="CP2" s="61"/>
      <c r="CQ2" s="61"/>
      <c r="CR2" s="61"/>
      <c r="CS2" s="61"/>
      <c r="CT2" s="61"/>
      <c r="CU2" s="61"/>
      <c r="CV2" s="61"/>
      <c r="CW2" s="61"/>
      <c r="CX2" s="61"/>
      <c r="CY2" s="61"/>
      <c r="CZ2" s="61"/>
      <c r="DA2" s="61"/>
      <c r="DB2" s="61"/>
      <c r="DC2" s="61"/>
      <c r="DD2" s="61"/>
      <c r="DE2" s="61"/>
      <c r="DF2" s="61"/>
      <c r="DG2" s="61"/>
      <c r="DH2" s="61"/>
      <c r="DI2" s="61"/>
      <c r="DJ2" s="61"/>
      <c r="DK2" s="61"/>
      <c r="DL2" s="61"/>
      <c r="DM2" s="61"/>
      <c r="DN2" s="61"/>
      <c r="DO2" s="61"/>
      <c r="DP2" s="61"/>
      <c r="DQ2" s="61"/>
      <c r="DR2" s="61"/>
      <c r="DS2" s="61"/>
      <c r="DT2" s="61"/>
      <c r="DU2" s="61"/>
      <c r="DV2" s="61"/>
      <c r="DW2" s="61"/>
      <c r="DX2" s="61"/>
      <c r="DY2" s="61"/>
      <c r="DZ2" s="61"/>
      <c r="EA2" s="61"/>
      <c r="EB2" s="61"/>
      <c r="EC2" s="61"/>
      <c r="ED2" s="61"/>
      <c r="EE2" s="61"/>
      <c r="EF2" s="61"/>
      <c r="EG2" s="61"/>
      <c r="EH2" s="61"/>
      <c r="EI2" s="61"/>
      <c r="EJ2" s="61"/>
      <c r="EK2" s="61"/>
      <c r="EL2" s="61"/>
      <c r="EM2" s="61"/>
      <c r="EN2" s="61"/>
      <c r="EO2" s="61"/>
      <c r="EP2" s="61"/>
      <c r="EQ2" s="61"/>
      <c r="ER2" s="61"/>
      <c r="ES2" s="61"/>
      <c r="ET2" s="61"/>
      <c r="EU2" s="61"/>
      <c r="EV2" s="61"/>
      <c r="EW2" s="61"/>
      <c r="EX2" s="61"/>
      <c r="EY2" s="61"/>
      <c r="EZ2" s="61"/>
      <c r="FA2" s="61"/>
      <c r="FB2" s="61"/>
      <c r="FC2" s="61"/>
      <c r="FD2" s="61"/>
      <c r="FE2" s="61"/>
      <c r="FF2" s="61"/>
      <c r="FG2" s="61"/>
      <c r="FH2" s="61"/>
      <c r="FI2" s="61"/>
      <c r="FJ2" s="61"/>
      <c r="FK2" s="61"/>
      <c r="FL2" s="61"/>
      <c r="FM2" s="61"/>
      <c r="FN2" s="61"/>
      <c r="FO2" s="61"/>
      <c r="FP2" s="61"/>
      <c r="FQ2" s="61"/>
      <c r="FR2" s="61"/>
      <c r="FS2" s="61"/>
      <c r="FT2" s="61"/>
      <c r="FU2" s="61"/>
      <c r="FV2" s="61"/>
      <c r="FW2" s="61"/>
      <c r="FX2" s="61"/>
      <c r="FY2" s="61"/>
      <c r="FZ2" s="61"/>
      <c r="GA2" s="61"/>
      <c r="GB2" s="61"/>
      <c r="GC2" s="61"/>
      <c r="GD2" s="61"/>
      <c r="GE2" s="61"/>
      <c r="GF2" s="61"/>
      <c r="GG2" s="61"/>
      <c r="GH2" s="61"/>
      <c r="GI2" s="61"/>
      <c r="GJ2" s="61"/>
      <c r="GK2" s="61"/>
      <c r="GL2" s="61"/>
      <c r="GM2" s="61"/>
      <c r="GN2" s="61"/>
      <c r="GO2" s="61"/>
      <c r="GP2" s="61"/>
      <c r="GQ2" s="61"/>
      <c r="GR2" s="61"/>
      <c r="GS2" s="61"/>
      <c r="GT2" s="61"/>
      <c r="GU2" s="61"/>
      <c r="GV2" s="61"/>
      <c r="GW2" s="61"/>
      <c r="GX2" s="61"/>
      <c r="GY2" s="61"/>
      <c r="GZ2" s="61"/>
      <c r="HA2" s="61"/>
      <c r="HB2" s="61"/>
      <c r="HC2" s="61"/>
      <c r="HD2" s="61"/>
      <c r="HE2" s="61"/>
      <c r="HF2" s="61"/>
      <c r="HG2" s="61"/>
      <c r="HH2" s="61"/>
      <c r="HI2" s="61"/>
      <c r="HJ2" s="61"/>
      <c r="HK2" s="61"/>
      <c r="HL2" s="61"/>
      <c r="HM2" s="61"/>
      <c r="HN2" s="61"/>
      <c r="HO2" s="61"/>
      <c r="HP2" s="61"/>
      <c r="HQ2" s="61"/>
      <c r="HR2" s="61"/>
      <c r="HS2" s="61"/>
      <c r="HT2" s="61"/>
      <c r="HU2" s="61"/>
      <c r="HV2" s="61"/>
      <c r="HW2" s="61"/>
      <c r="HX2" s="61"/>
      <c r="HY2" s="61"/>
      <c r="HZ2" s="61"/>
      <c r="IA2" s="61"/>
      <c r="IB2" s="61"/>
      <c r="IC2" s="61"/>
      <c r="ID2" s="61"/>
      <c r="IE2" s="61"/>
      <c r="IF2" s="61"/>
      <c r="IG2" s="61"/>
      <c r="IH2" s="61"/>
      <c r="II2" s="61"/>
      <c r="IJ2" s="61"/>
      <c r="IK2" s="61"/>
      <c r="IL2" s="61"/>
      <c r="IM2" s="61"/>
      <c r="IN2" s="61"/>
      <c r="IO2" s="61"/>
      <c r="IP2" s="61"/>
      <c r="IQ2" s="61"/>
      <c r="IR2" s="61"/>
      <c r="IS2" s="61"/>
      <c r="IT2" s="61"/>
      <c r="IU2" s="61"/>
      <c r="IV2" s="61"/>
      <c r="IW2" s="61"/>
      <c r="IX2" s="61"/>
      <c r="IY2" s="61"/>
      <c r="IZ2" s="61"/>
    </row>
    <row r="3" spans="1:260" s="62" customFormat="1" ht="15" customHeight="1" x14ac:dyDescent="0.15">
      <c r="A3" s="150" t="s">
        <v>4</v>
      </c>
      <c r="B3" s="150"/>
      <c r="C3" s="150"/>
      <c r="D3" s="150"/>
      <c r="E3" s="150"/>
      <c r="F3" s="150"/>
      <c r="G3" s="150"/>
      <c r="H3" s="150"/>
      <c r="I3" s="150"/>
      <c r="J3" s="150"/>
      <c r="K3" s="150"/>
      <c r="L3" s="150"/>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c r="HS3" s="61"/>
      <c r="HT3" s="61"/>
      <c r="HU3" s="61"/>
      <c r="HV3" s="61"/>
      <c r="HW3" s="61"/>
      <c r="HX3" s="61"/>
      <c r="HY3" s="61"/>
      <c r="HZ3" s="61"/>
      <c r="IA3" s="61"/>
      <c r="IB3" s="61"/>
      <c r="IC3" s="61"/>
      <c r="ID3" s="61"/>
      <c r="IE3" s="61"/>
      <c r="IF3" s="61"/>
      <c r="IG3" s="61"/>
      <c r="IH3" s="61"/>
      <c r="II3" s="61"/>
      <c r="IJ3" s="61"/>
      <c r="IK3" s="61"/>
      <c r="IL3" s="61"/>
      <c r="IM3" s="61"/>
      <c r="IN3" s="61"/>
      <c r="IO3" s="61"/>
      <c r="IP3" s="61"/>
      <c r="IQ3" s="61"/>
      <c r="IR3" s="61"/>
      <c r="IS3" s="61"/>
      <c r="IT3" s="61"/>
      <c r="IU3" s="61"/>
      <c r="IV3" s="61"/>
      <c r="IW3" s="61"/>
      <c r="IX3" s="61"/>
      <c r="IY3" s="61"/>
      <c r="IZ3" s="61"/>
    </row>
    <row r="4" spans="1:260" s="62" customFormat="1" ht="15" customHeight="1" x14ac:dyDescent="0.15">
      <c r="A4" s="150"/>
      <c r="B4" s="150"/>
      <c r="C4" s="150"/>
      <c r="D4" s="150"/>
      <c r="E4" s="150"/>
      <c r="F4" s="150"/>
      <c r="G4" s="150"/>
      <c r="H4" s="150"/>
      <c r="I4" s="150"/>
      <c r="J4" s="150"/>
      <c r="K4" s="150"/>
      <c r="L4" s="150"/>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c r="CT4" s="61"/>
      <c r="CU4" s="61"/>
      <c r="CV4" s="61"/>
      <c r="CW4" s="61"/>
      <c r="CX4" s="61"/>
      <c r="CY4" s="61"/>
      <c r="CZ4" s="61"/>
      <c r="DA4" s="61"/>
      <c r="DB4" s="61"/>
      <c r="DC4" s="61"/>
      <c r="DD4" s="61"/>
      <c r="DE4" s="61"/>
      <c r="DF4" s="61"/>
      <c r="DG4" s="61"/>
      <c r="DH4" s="61"/>
      <c r="DI4" s="61"/>
      <c r="DJ4" s="61"/>
      <c r="DK4" s="61"/>
      <c r="DL4" s="61"/>
      <c r="DM4" s="61"/>
      <c r="DN4" s="61"/>
      <c r="DO4" s="61"/>
      <c r="DP4" s="61"/>
      <c r="DQ4" s="61"/>
      <c r="DR4" s="61"/>
      <c r="DS4" s="61"/>
      <c r="DT4" s="61"/>
      <c r="DU4" s="61"/>
      <c r="DV4" s="61"/>
      <c r="DW4" s="61"/>
      <c r="DX4" s="61"/>
      <c r="DY4" s="61"/>
      <c r="DZ4" s="61"/>
      <c r="EA4" s="61"/>
      <c r="EB4" s="61"/>
      <c r="EC4" s="61"/>
      <c r="ED4" s="61"/>
      <c r="EE4" s="61"/>
      <c r="EF4" s="61"/>
      <c r="EG4" s="61"/>
      <c r="EH4" s="61"/>
      <c r="EI4" s="61"/>
      <c r="EJ4" s="61"/>
      <c r="EK4" s="61"/>
      <c r="EL4" s="61"/>
      <c r="EM4" s="61"/>
      <c r="EN4" s="61"/>
      <c r="EO4" s="61"/>
      <c r="EP4" s="61"/>
      <c r="EQ4" s="61"/>
      <c r="ER4" s="61"/>
      <c r="ES4" s="61"/>
      <c r="ET4" s="61"/>
      <c r="EU4" s="61"/>
      <c r="EV4" s="61"/>
      <c r="EW4" s="61"/>
      <c r="EX4" s="61"/>
      <c r="EY4" s="61"/>
      <c r="EZ4" s="61"/>
      <c r="FA4" s="61"/>
      <c r="FB4" s="61"/>
      <c r="FC4" s="61"/>
      <c r="FD4" s="61"/>
      <c r="FE4" s="61"/>
      <c r="FF4" s="61"/>
      <c r="FG4" s="61"/>
      <c r="FH4" s="61"/>
      <c r="FI4" s="61"/>
      <c r="FJ4" s="61"/>
      <c r="FK4" s="61"/>
      <c r="FL4" s="61"/>
      <c r="FM4" s="61"/>
      <c r="FN4" s="61"/>
      <c r="FO4" s="61"/>
      <c r="FP4" s="61"/>
      <c r="FQ4" s="61"/>
      <c r="FR4" s="61"/>
      <c r="FS4" s="61"/>
      <c r="FT4" s="61"/>
      <c r="FU4" s="61"/>
      <c r="FV4" s="61"/>
      <c r="FW4" s="61"/>
      <c r="FX4" s="61"/>
      <c r="FY4" s="61"/>
      <c r="FZ4" s="61"/>
      <c r="GA4" s="61"/>
      <c r="GB4" s="61"/>
      <c r="GC4" s="61"/>
      <c r="GD4" s="61"/>
      <c r="GE4" s="61"/>
      <c r="GF4" s="61"/>
      <c r="GG4" s="61"/>
      <c r="GH4" s="61"/>
      <c r="GI4" s="61"/>
      <c r="GJ4" s="61"/>
      <c r="GK4" s="61"/>
      <c r="GL4" s="61"/>
      <c r="GM4" s="61"/>
      <c r="GN4" s="61"/>
      <c r="GO4" s="61"/>
      <c r="GP4" s="61"/>
      <c r="GQ4" s="61"/>
      <c r="GR4" s="61"/>
      <c r="GS4" s="61"/>
      <c r="GT4" s="61"/>
      <c r="GU4" s="61"/>
      <c r="GV4" s="61"/>
      <c r="GW4" s="61"/>
      <c r="GX4" s="61"/>
      <c r="GY4" s="61"/>
      <c r="GZ4" s="61"/>
      <c r="HA4" s="61"/>
      <c r="HB4" s="61"/>
      <c r="HC4" s="61"/>
      <c r="HD4" s="61"/>
      <c r="HE4" s="61"/>
      <c r="HF4" s="61"/>
      <c r="HG4" s="61"/>
      <c r="HH4" s="61"/>
      <c r="HI4" s="61"/>
      <c r="HJ4" s="61"/>
      <c r="HK4" s="61"/>
      <c r="HL4" s="61"/>
      <c r="HM4" s="61"/>
      <c r="HN4" s="61"/>
      <c r="HO4" s="61"/>
      <c r="HP4" s="61"/>
      <c r="HQ4" s="61"/>
      <c r="HR4" s="61"/>
      <c r="HS4" s="61"/>
      <c r="HT4" s="61"/>
      <c r="HU4" s="61"/>
      <c r="HV4" s="61"/>
      <c r="HW4" s="61"/>
      <c r="HX4" s="61"/>
      <c r="HY4" s="61"/>
      <c r="HZ4" s="61"/>
      <c r="IA4" s="61"/>
      <c r="IB4" s="61"/>
      <c r="IC4" s="61"/>
      <c r="ID4" s="61"/>
      <c r="IE4" s="61"/>
      <c r="IF4" s="61"/>
      <c r="IG4" s="61"/>
      <c r="IH4" s="61"/>
      <c r="II4" s="61"/>
      <c r="IJ4" s="61"/>
      <c r="IK4" s="61"/>
      <c r="IL4" s="61"/>
      <c r="IM4" s="61"/>
      <c r="IN4" s="61"/>
      <c r="IO4" s="61"/>
      <c r="IP4" s="61"/>
      <c r="IQ4" s="61"/>
      <c r="IR4" s="61"/>
      <c r="IS4" s="61"/>
      <c r="IT4" s="61"/>
      <c r="IU4" s="61"/>
      <c r="IV4" s="61"/>
      <c r="IW4" s="61"/>
      <c r="IX4" s="61"/>
      <c r="IY4" s="61"/>
      <c r="IZ4" s="61"/>
    </row>
    <row r="5" spans="1:260" s="62" customFormat="1" ht="15" customHeight="1" x14ac:dyDescent="0.2">
      <c r="A5" s="78"/>
      <c r="B5" s="78"/>
      <c r="C5" s="78"/>
      <c r="D5" s="78"/>
      <c r="E5" s="79"/>
      <c r="F5" s="79"/>
      <c r="G5" s="79"/>
      <c r="H5" s="79"/>
      <c r="I5" s="79"/>
      <c r="J5" s="80"/>
      <c r="K5" s="140"/>
      <c r="L5" s="14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c r="ED5" s="61"/>
      <c r="EE5" s="61"/>
      <c r="EF5" s="61"/>
      <c r="EG5" s="61"/>
      <c r="EH5" s="61"/>
      <c r="EI5" s="61"/>
      <c r="EJ5" s="61"/>
      <c r="EK5" s="61"/>
      <c r="EL5" s="61"/>
      <c r="EM5" s="61"/>
      <c r="EN5" s="61"/>
      <c r="EO5" s="61"/>
      <c r="EP5" s="61"/>
      <c r="EQ5" s="61"/>
      <c r="ER5" s="61"/>
      <c r="ES5" s="61"/>
      <c r="ET5" s="61"/>
      <c r="EU5" s="61"/>
      <c r="EV5" s="61"/>
      <c r="EW5" s="61"/>
      <c r="EX5" s="61"/>
      <c r="EY5" s="61"/>
      <c r="EZ5" s="61"/>
      <c r="FA5" s="61"/>
      <c r="FB5" s="61"/>
      <c r="FC5" s="61"/>
      <c r="FD5" s="61"/>
      <c r="FE5" s="61"/>
      <c r="FF5" s="61"/>
      <c r="FG5" s="61"/>
      <c r="FH5" s="61"/>
      <c r="FI5" s="61"/>
      <c r="FJ5" s="61"/>
      <c r="FK5" s="61"/>
      <c r="FL5" s="61"/>
      <c r="FM5" s="61"/>
      <c r="FN5" s="61"/>
      <c r="FO5" s="61"/>
      <c r="FP5" s="61"/>
      <c r="FQ5" s="61"/>
      <c r="FR5" s="61"/>
      <c r="FS5" s="61"/>
      <c r="FT5" s="61"/>
      <c r="FU5" s="61"/>
      <c r="FV5" s="61"/>
      <c r="FW5" s="61"/>
      <c r="FX5" s="61"/>
      <c r="FY5" s="61"/>
      <c r="FZ5" s="61"/>
      <c r="GA5" s="61"/>
      <c r="GB5" s="61"/>
      <c r="GC5" s="61"/>
      <c r="GD5" s="61"/>
      <c r="GE5" s="61"/>
      <c r="GF5" s="61"/>
      <c r="GG5" s="61"/>
      <c r="GH5" s="61"/>
      <c r="GI5" s="61"/>
      <c r="GJ5" s="61"/>
      <c r="GK5" s="61"/>
      <c r="GL5" s="61"/>
      <c r="GM5" s="61"/>
      <c r="GN5" s="61"/>
      <c r="GO5" s="61"/>
      <c r="GP5" s="61"/>
      <c r="GQ5" s="61"/>
      <c r="GR5" s="61"/>
      <c r="GS5" s="61"/>
      <c r="GT5" s="61"/>
      <c r="GU5" s="61"/>
      <c r="GV5" s="61"/>
      <c r="GW5" s="61"/>
      <c r="GX5" s="61"/>
      <c r="GY5" s="61"/>
      <c r="GZ5" s="61"/>
      <c r="HA5" s="61"/>
      <c r="HB5" s="61"/>
      <c r="HC5" s="61"/>
      <c r="HD5" s="61"/>
      <c r="HE5" s="61"/>
      <c r="HF5" s="61"/>
      <c r="HG5" s="61"/>
      <c r="HH5" s="61"/>
      <c r="HI5" s="61"/>
      <c r="HJ5" s="61"/>
      <c r="HK5" s="61"/>
      <c r="HL5" s="61"/>
      <c r="HM5" s="61"/>
      <c r="HN5" s="61"/>
      <c r="HO5" s="61"/>
      <c r="HP5" s="61"/>
      <c r="HQ5" s="61"/>
      <c r="HR5" s="61"/>
      <c r="HS5" s="61"/>
      <c r="HT5" s="61"/>
      <c r="HU5" s="61"/>
      <c r="HV5" s="61"/>
      <c r="HW5" s="61"/>
      <c r="HX5" s="61"/>
      <c r="HY5" s="61"/>
      <c r="HZ5" s="61"/>
      <c r="IA5" s="61"/>
      <c r="IB5" s="61"/>
      <c r="IC5" s="61"/>
      <c r="ID5" s="61"/>
      <c r="IE5" s="61"/>
      <c r="IF5" s="61"/>
      <c r="IG5" s="61"/>
      <c r="IH5" s="61"/>
      <c r="II5" s="61"/>
      <c r="IJ5" s="61"/>
      <c r="IK5" s="61"/>
      <c r="IL5" s="61"/>
      <c r="IM5" s="61"/>
      <c r="IN5" s="61"/>
      <c r="IO5" s="61"/>
      <c r="IP5" s="61"/>
      <c r="IQ5" s="61"/>
      <c r="IR5" s="61"/>
      <c r="IS5" s="61"/>
      <c r="IT5" s="61"/>
      <c r="IU5" s="61"/>
      <c r="IV5" s="61"/>
      <c r="IW5" s="61"/>
      <c r="IX5" s="61"/>
      <c r="IY5" s="61"/>
      <c r="IZ5" s="61"/>
    </row>
    <row r="6" spans="1:260" s="62" customFormat="1" ht="15" customHeight="1" x14ac:dyDescent="0.2">
      <c r="A6" s="78"/>
      <c r="B6" s="78"/>
      <c r="C6" s="78"/>
      <c r="D6" s="78"/>
      <c r="E6" s="79"/>
      <c r="F6" s="79"/>
      <c r="G6" s="79"/>
      <c r="H6" s="79"/>
      <c r="I6" s="79"/>
      <c r="J6" s="80"/>
      <c r="K6" s="140"/>
      <c r="L6" s="14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61"/>
      <c r="DT6" s="61"/>
      <c r="DU6" s="61"/>
      <c r="DV6" s="61"/>
      <c r="DW6" s="61"/>
      <c r="DX6" s="61"/>
      <c r="DY6" s="61"/>
      <c r="DZ6" s="61"/>
      <c r="EA6" s="61"/>
      <c r="EB6" s="61"/>
      <c r="EC6" s="61"/>
      <c r="ED6" s="61"/>
      <c r="EE6" s="61"/>
      <c r="EF6" s="61"/>
      <c r="EG6" s="61"/>
      <c r="EH6" s="61"/>
      <c r="EI6" s="61"/>
      <c r="EJ6" s="61"/>
      <c r="EK6" s="61"/>
      <c r="EL6" s="61"/>
      <c r="EM6" s="61"/>
      <c r="EN6" s="61"/>
      <c r="EO6" s="61"/>
      <c r="EP6" s="61"/>
      <c r="EQ6" s="61"/>
      <c r="ER6" s="61"/>
      <c r="ES6" s="61"/>
      <c r="ET6" s="61"/>
      <c r="EU6" s="61"/>
      <c r="EV6" s="61"/>
      <c r="EW6" s="61"/>
      <c r="EX6" s="61"/>
      <c r="EY6" s="61"/>
      <c r="EZ6" s="61"/>
      <c r="FA6" s="61"/>
      <c r="FB6" s="61"/>
      <c r="FC6" s="61"/>
      <c r="FD6" s="61"/>
      <c r="FE6" s="61"/>
      <c r="FF6" s="61"/>
      <c r="FG6" s="61"/>
      <c r="FH6" s="61"/>
      <c r="FI6" s="61"/>
      <c r="FJ6" s="61"/>
      <c r="FK6" s="61"/>
      <c r="FL6" s="61"/>
      <c r="FM6" s="61"/>
      <c r="FN6" s="61"/>
      <c r="FO6" s="61"/>
      <c r="FP6" s="61"/>
      <c r="FQ6" s="61"/>
      <c r="FR6" s="61"/>
      <c r="FS6" s="61"/>
      <c r="FT6" s="61"/>
      <c r="FU6" s="61"/>
      <c r="FV6" s="61"/>
      <c r="FW6" s="61"/>
      <c r="FX6" s="61"/>
      <c r="FY6" s="61"/>
      <c r="FZ6" s="61"/>
      <c r="GA6" s="61"/>
      <c r="GB6" s="61"/>
      <c r="GC6" s="61"/>
      <c r="GD6" s="61"/>
      <c r="GE6" s="61"/>
      <c r="GF6" s="61"/>
      <c r="GG6" s="61"/>
      <c r="GH6" s="61"/>
      <c r="GI6" s="61"/>
      <c r="GJ6" s="61"/>
      <c r="GK6" s="61"/>
      <c r="GL6" s="61"/>
      <c r="GM6" s="61"/>
      <c r="GN6" s="61"/>
      <c r="GO6" s="61"/>
      <c r="GP6" s="61"/>
      <c r="GQ6" s="61"/>
      <c r="GR6" s="61"/>
      <c r="GS6" s="61"/>
      <c r="GT6" s="61"/>
      <c r="GU6" s="61"/>
      <c r="GV6" s="61"/>
      <c r="GW6" s="61"/>
      <c r="GX6" s="61"/>
      <c r="GY6" s="61"/>
      <c r="GZ6" s="61"/>
      <c r="HA6" s="61"/>
      <c r="HB6" s="61"/>
      <c r="HC6" s="61"/>
      <c r="HD6" s="61"/>
      <c r="HE6" s="61"/>
      <c r="HF6" s="61"/>
      <c r="HG6" s="61"/>
      <c r="HH6" s="61"/>
      <c r="HI6" s="61"/>
      <c r="HJ6" s="61"/>
      <c r="HK6" s="61"/>
      <c r="HL6" s="61"/>
      <c r="HM6" s="61"/>
      <c r="HN6" s="61"/>
      <c r="HO6" s="61"/>
      <c r="HP6" s="61"/>
      <c r="HQ6" s="61"/>
      <c r="HR6" s="61"/>
      <c r="HS6" s="61"/>
      <c r="HT6" s="61"/>
      <c r="HU6" s="61"/>
      <c r="HV6" s="61"/>
      <c r="HW6" s="61"/>
      <c r="HX6" s="61"/>
      <c r="HY6" s="61"/>
      <c r="HZ6" s="61"/>
      <c r="IA6" s="61"/>
      <c r="IB6" s="61"/>
      <c r="IC6" s="61"/>
      <c r="ID6" s="61"/>
      <c r="IE6" s="61"/>
      <c r="IF6" s="61"/>
      <c r="IG6" s="61"/>
      <c r="IH6" s="61"/>
      <c r="II6" s="61"/>
      <c r="IJ6" s="61"/>
      <c r="IK6" s="61"/>
      <c r="IL6" s="61"/>
      <c r="IM6" s="61"/>
      <c r="IN6" s="61"/>
      <c r="IO6" s="61"/>
      <c r="IP6" s="61"/>
      <c r="IQ6" s="61"/>
      <c r="IR6" s="61"/>
      <c r="IS6" s="61"/>
      <c r="IT6" s="61"/>
      <c r="IU6" s="61"/>
      <c r="IV6" s="61"/>
      <c r="IW6" s="61"/>
      <c r="IX6" s="61"/>
      <c r="IY6" s="61"/>
      <c r="IZ6" s="61"/>
    </row>
    <row r="7" spans="1:260" s="62" customFormat="1" ht="15" customHeight="1" x14ac:dyDescent="0.2">
      <c r="A7" s="78"/>
      <c r="B7" s="78"/>
      <c r="C7" s="78"/>
      <c r="D7" s="78"/>
      <c r="E7" s="81"/>
      <c r="F7" s="81"/>
      <c r="G7" s="81"/>
      <c r="H7" s="81"/>
      <c r="I7" s="81"/>
      <c r="J7" s="80"/>
      <c r="K7" s="140"/>
      <c r="L7" s="14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c r="BU7" s="61"/>
      <c r="BV7" s="61"/>
      <c r="BW7" s="61"/>
      <c r="BX7" s="61"/>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1"/>
      <c r="DC7" s="61"/>
      <c r="DD7" s="61"/>
      <c r="DE7" s="61"/>
      <c r="DF7" s="61"/>
      <c r="DG7" s="61"/>
      <c r="DH7" s="61"/>
      <c r="DI7" s="61"/>
      <c r="DJ7" s="61"/>
      <c r="DK7" s="61"/>
      <c r="DL7" s="61"/>
      <c r="DM7" s="61"/>
      <c r="DN7" s="61"/>
      <c r="DO7" s="61"/>
      <c r="DP7" s="61"/>
      <c r="DQ7" s="61"/>
      <c r="DR7" s="61"/>
      <c r="DS7" s="61"/>
      <c r="DT7" s="61"/>
      <c r="DU7" s="61"/>
      <c r="DV7" s="61"/>
      <c r="DW7" s="61"/>
      <c r="DX7" s="61"/>
      <c r="DY7" s="61"/>
      <c r="DZ7" s="61"/>
      <c r="EA7" s="61"/>
      <c r="EB7" s="61"/>
      <c r="EC7" s="61"/>
      <c r="ED7" s="61"/>
      <c r="EE7" s="61"/>
      <c r="EF7" s="61"/>
      <c r="EG7" s="61"/>
      <c r="EH7" s="61"/>
      <c r="EI7" s="61"/>
      <c r="EJ7" s="61"/>
      <c r="EK7" s="61"/>
      <c r="EL7" s="61"/>
      <c r="EM7" s="61"/>
      <c r="EN7" s="61"/>
      <c r="EO7" s="61"/>
      <c r="EP7" s="61"/>
      <c r="EQ7" s="61"/>
      <c r="ER7" s="61"/>
      <c r="ES7" s="61"/>
      <c r="ET7" s="61"/>
      <c r="EU7" s="61"/>
      <c r="EV7" s="61"/>
      <c r="EW7" s="61"/>
      <c r="EX7" s="61"/>
      <c r="EY7" s="61"/>
      <c r="EZ7" s="61"/>
      <c r="FA7" s="61"/>
      <c r="FB7" s="61"/>
      <c r="FC7" s="61"/>
      <c r="FD7" s="61"/>
      <c r="FE7" s="61"/>
      <c r="FF7" s="61"/>
      <c r="FG7" s="61"/>
      <c r="FH7" s="61"/>
      <c r="FI7" s="61"/>
      <c r="FJ7" s="61"/>
      <c r="FK7" s="61"/>
      <c r="FL7" s="61"/>
      <c r="FM7" s="61"/>
      <c r="FN7" s="61"/>
      <c r="FO7" s="61"/>
      <c r="FP7" s="61"/>
      <c r="FQ7" s="61"/>
      <c r="FR7" s="61"/>
      <c r="FS7" s="61"/>
      <c r="FT7" s="61"/>
      <c r="FU7" s="61"/>
      <c r="FV7" s="61"/>
      <c r="FW7" s="61"/>
      <c r="FX7" s="61"/>
      <c r="FY7" s="61"/>
      <c r="FZ7" s="61"/>
      <c r="GA7" s="61"/>
      <c r="GB7" s="61"/>
      <c r="GC7" s="61"/>
      <c r="GD7" s="61"/>
      <c r="GE7" s="61"/>
      <c r="GF7" s="61"/>
      <c r="GG7" s="61"/>
      <c r="GH7" s="61"/>
      <c r="GI7" s="61"/>
      <c r="GJ7" s="61"/>
      <c r="GK7" s="61"/>
      <c r="GL7" s="61"/>
      <c r="GM7" s="61"/>
      <c r="GN7" s="61"/>
      <c r="GO7" s="61"/>
      <c r="GP7" s="61"/>
      <c r="GQ7" s="61"/>
      <c r="GR7" s="61"/>
      <c r="GS7" s="61"/>
      <c r="GT7" s="61"/>
      <c r="GU7" s="61"/>
      <c r="GV7" s="61"/>
      <c r="GW7" s="61"/>
      <c r="GX7" s="61"/>
      <c r="GY7" s="61"/>
      <c r="GZ7" s="61"/>
      <c r="HA7" s="61"/>
      <c r="HB7" s="61"/>
      <c r="HC7" s="61"/>
      <c r="HD7" s="61"/>
      <c r="HE7" s="61"/>
      <c r="HF7" s="61"/>
      <c r="HG7" s="61"/>
      <c r="HH7" s="61"/>
      <c r="HI7" s="61"/>
      <c r="HJ7" s="61"/>
      <c r="HK7" s="61"/>
      <c r="HL7" s="61"/>
      <c r="HM7" s="61"/>
      <c r="HN7" s="61"/>
      <c r="HO7" s="61"/>
      <c r="HP7" s="61"/>
      <c r="HQ7" s="61"/>
      <c r="HR7" s="61"/>
      <c r="HS7" s="61"/>
      <c r="HT7" s="61"/>
      <c r="HU7" s="61"/>
      <c r="HV7" s="61"/>
      <c r="HW7" s="61"/>
      <c r="HX7" s="61"/>
      <c r="HY7" s="61"/>
      <c r="HZ7" s="61"/>
      <c r="IA7" s="61"/>
      <c r="IB7" s="61"/>
      <c r="IC7" s="61"/>
      <c r="ID7" s="61"/>
      <c r="IE7" s="61"/>
      <c r="IF7" s="61"/>
      <c r="IG7" s="61"/>
      <c r="IH7" s="61"/>
      <c r="II7" s="61"/>
      <c r="IJ7" s="61"/>
      <c r="IK7" s="61"/>
      <c r="IL7" s="61"/>
      <c r="IM7" s="61"/>
      <c r="IN7" s="61"/>
      <c r="IO7" s="61"/>
      <c r="IP7" s="61"/>
      <c r="IQ7" s="61"/>
      <c r="IR7" s="61"/>
      <c r="IS7" s="61"/>
      <c r="IT7" s="61"/>
      <c r="IU7" s="61"/>
      <c r="IV7" s="61"/>
      <c r="IW7" s="61"/>
      <c r="IX7" s="61"/>
      <c r="IY7" s="61"/>
      <c r="IZ7" s="61"/>
    </row>
    <row r="8" spans="1:260" s="62" customFormat="1" ht="15" customHeight="1" x14ac:dyDescent="0.2">
      <c r="A8" s="78"/>
      <c r="B8" s="78"/>
      <c r="C8" s="78"/>
      <c r="D8" s="78"/>
      <c r="E8" s="82"/>
      <c r="F8" s="82"/>
      <c r="G8" s="82"/>
      <c r="H8" s="82"/>
      <c r="I8" s="82"/>
      <c r="J8" s="80"/>
      <c r="K8" s="142"/>
      <c r="L8" s="143"/>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c r="BU8" s="61"/>
      <c r="BV8" s="61"/>
      <c r="BW8" s="61"/>
      <c r="BX8" s="61"/>
      <c r="BY8" s="61"/>
      <c r="BZ8" s="61"/>
      <c r="CA8" s="61"/>
      <c r="CB8" s="61"/>
      <c r="CC8" s="61"/>
      <c r="CD8" s="61"/>
      <c r="CE8" s="61"/>
      <c r="CF8" s="61"/>
      <c r="CG8" s="61"/>
      <c r="CH8" s="61"/>
      <c r="CI8" s="61"/>
      <c r="CJ8" s="61"/>
      <c r="CK8" s="61"/>
      <c r="CL8" s="61"/>
      <c r="CM8" s="61"/>
      <c r="CN8" s="61"/>
      <c r="CO8" s="61"/>
      <c r="CP8" s="61"/>
      <c r="CQ8" s="61"/>
      <c r="CR8" s="61"/>
      <c r="CS8" s="61"/>
      <c r="CT8" s="61"/>
      <c r="CU8" s="61"/>
      <c r="CV8" s="61"/>
      <c r="CW8" s="61"/>
      <c r="CX8" s="61"/>
      <c r="CY8" s="61"/>
      <c r="CZ8" s="61"/>
      <c r="DA8" s="61"/>
      <c r="DB8" s="61"/>
      <c r="DC8" s="61"/>
      <c r="DD8" s="61"/>
      <c r="DE8" s="61"/>
      <c r="DF8" s="61"/>
      <c r="DG8" s="61"/>
      <c r="DH8" s="61"/>
      <c r="DI8" s="61"/>
      <c r="DJ8" s="61"/>
      <c r="DK8" s="61"/>
      <c r="DL8" s="61"/>
      <c r="DM8" s="61"/>
      <c r="DN8" s="61"/>
      <c r="DO8" s="61"/>
      <c r="DP8" s="61"/>
      <c r="DQ8" s="61"/>
      <c r="DR8" s="61"/>
      <c r="DS8" s="61"/>
      <c r="DT8" s="61"/>
      <c r="DU8" s="61"/>
      <c r="DV8" s="61"/>
      <c r="DW8" s="61"/>
      <c r="DX8" s="61"/>
      <c r="DY8" s="61"/>
      <c r="DZ8" s="61"/>
      <c r="EA8" s="61"/>
      <c r="EB8" s="61"/>
      <c r="EC8" s="61"/>
      <c r="ED8" s="61"/>
      <c r="EE8" s="61"/>
      <c r="EF8" s="61"/>
      <c r="EG8" s="61"/>
      <c r="EH8" s="61"/>
      <c r="EI8" s="61"/>
      <c r="EJ8" s="61"/>
      <c r="EK8" s="61"/>
      <c r="EL8" s="61"/>
      <c r="EM8" s="61"/>
      <c r="EN8" s="61"/>
      <c r="EO8" s="61"/>
      <c r="EP8" s="61"/>
      <c r="EQ8" s="61"/>
      <c r="ER8" s="61"/>
      <c r="ES8" s="61"/>
      <c r="ET8" s="61"/>
      <c r="EU8" s="61"/>
      <c r="EV8" s="61"/>
      <c r="EW8" s="61"/>
      <c r="EX8" s="61"/>
      <c r="EY8" s="61"/>
      <c r="EZ8" s="61"/>
      <c r="FA8" s="61"/>
      <c r="FB8" s="61"/>
      <c r="FC8" s="61"/>
      <c r="FD8" s="61"/>
      <c r="FE8" s="61"/>
      <c r="FF8" s="61"/>
      <c r="FG8" s="61"/>
      <c r="FH8" s="61"/>
      <c r="FI8" s="61"/>
      <c r="FJ8" s="61"/>
      <c r="FK8" s="61"/>
      <c r="FL8" s="61"/>
      <c r="FM8" s="61"/>
      <c r="FN8" s="61"/>
      <c r="FO8" s="61"/>
      <c r="FP8" s="61"/>
      <c r="FQ8" s="61"/>
      <c r="FR8" s="61"/>
      <c r="FS8" s="61"/>
      <c r="FT8" s="61"/>
      <c r="FU8" s="61"/>
      <c r="FV8" s="61"/>
      <c r="FW8" s="61"/>
      <c r="FX8" s="61"/>
      <c r="FY8" s="61"/>
      <c r="FZ8" s="61"/>
      <c r="GA8" s="61"/>
      <c r="GB8" s="61"/>
      <c r="GC8" s="61"/>
      <c r="GD8" s="61"/>
      <c r="GE8" s="61"/>
      <c r="GF8" s="61"/>
      <c r="GG8" s="61"/>
      <c r="GH8" s="61"/>
      <c r="GI8" s="61"/>
      <c r="GJ8" s="61"/>
      <c r="GK8" s="61"/>
      <c r="GL8" s="61"/>
      <c r="GM8" s="61"/>
      <c r="GN8" s="61"/>
      <c r="GO8" s="61"/>
      <c r="GP8" s="61"/>
      <c r="GQ8" s="61"/>
      <c r="GR8" s="61"/>
      <c r="GS8" s="61"/>
      <c r="GT8" s="61"/>
      <c r="GU8" s="61"/>
      <c r="GV8" s="61"/>
      <c r="GW8" s="61"/>
      <c r="GX8" s="61"/>
      <c r="GY8" s="61"/>
      <c r="GZ8" s="61"/>
      <c r="HA8" s="61"/>
      <c r="HB8" s="61"/>
      <c r="HC8" s="61"/>
      <c r="HD8" s="61"/>
      <c r="HE8" s="61"/>
      <c r="HF8" s="61"/>
      <c r="HG8" s="61"/>
      <c r="HH8" s="61"/>
      <c r="HI8" s="61"/>
      <c r="HJ8" s="61"/>
      <c r="HK8" s="61"/>
      <c r="HL8" s="61"/>
      <c r="HM8" s="61"/>
      <c r="HN8" s="61"/>
      <c r="HO8" s="61"/>
      <c r="HP8" s="61"/>
      <c r="HQ8" s="61"/>
      <c r="HR8" s="61"/>
      <c r="HS8" s="61"/>
      <c r="HT8" s="61"/>
      <c r="HU8" s="61"/>
      <c r="HV8" s="61"/>
      <c r="HW8" s="61"/>
      <c r="HX8" s="61"/>
      <c r="HY8" s="61"/>
      <c r="HZ8" s="61"/>
      <c r="IA8" s="61"/>
      <c r="IB8" s="61"/>
      <c r="IC8" s="61"/>
      <c r="ID8" s="61"/>
      <c r="IE8" s="61"/>
      <c r="IF8" s="61"/>
      <c r="IG8" s="61"/>
      <c r="IH8" s="61"/>
      <c r="II8" s="61"/>
      <c r="IJ8" s="61"/>
      <c r="IK8" s="61"/>
      <c r="IL8" s="61"/>
      <c r="IM8" s="61"/>
      <c r="IN8" s="61"/>
      <c r="IO8" s="61"/>
      <c r="IP8" s="61"/>
      <c r="IQ8" s="61"/>
      <c r="IR8" s="61"/>
      <c r="IS8" s="61"/>
      <c r="IT8" s="61"/>
      <c r="IU8" s="61"/>
      <c r="IV8" s="61"/>
      <c r="IW8" s="61"/>
      <c r="IX8" s="61"/>
      <c r="IY8" s="61"/>
      <c r="IZ8" s="61"/>
    </row>
    <row r="9" spans="1:260" s="62" customFormat="1" ht="15" customHeight="1" x14ac:dyDescent="0.2">
      <c r="A9" s="78"/>
      <c r="B9" s="78"/>
      <c r="C9" s="78"/>
      <c r="D9" s="78"/>
      <c r="E9" s="82"/>
      <c r="F9" s="82"/>
      <c r="G9" s="82"/>
      <c r="H9" s="82"/>
      <c r="I9" s="82"/>
      <c r="J9" s="80"/>
      <c r="K9" s="140"/>
      <c r="L9" s="14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1"/>
      <c r="CV9" s="61"/>
      <c r="CW9" s="61"/>
      <c r="CX9" s="61"/>
      <c r="CY9" s="61"/>
      <c r="CZ9" s="61"/>
      <c r="DA9" s="61"/>
      <c r="DB9" s="61"/>
      <c r="DC9" s="61"/>
      <c r="DD9" s="61"/>
      <c r="DE9" s="61"/>
      <c r="DF9" s="61"/>
      <c r="DG9" s="61"/>
      <c r="DH9" s="61"/>
      <c r="DI9" s="61"/>
      <c r="DJ9" s="61"/>
      <c r="DK9" s="61"/>
      <c r="DL9" s="61"/>
      <c r="DM9" s="61"/>
      <c r="DN9" s="61"/>
      <c r="DO9" s="61"/>
      <c r="DP9" s="61"/>
      <c r="DQ9" s="61"/>
      <c r="DR9" s="61"/>
      <c r="DS9" s="61"/>
      <c r="DT9" s="61"/>
      <c r="DU9" s="61"/>
      <c r="DV9" s="61"/>
      <c r="DW9" s="61"/>
      <c r="DX9" s="61"/>
      <c r="DY9" s="61"/>
      <c r="DZ9" s="61"/>
      <c r="EA9" s="61"/>
      <c r="EB9" s="61"/>
      <c r="EC9" s="61"/>
      <c r="ED9" s="61"/>
      <c r="EE9" s="61"/>
      <c r="EF9" s="61"/>
      <c r="EG9" s="61"/>
      <c r="EH9" s="61"/>
      <c r="EI9" s="61"/>
      <c r="EJ9" s="61"/>
      <c r="EK9" s="61"/>
      <c r="EL9" s="61"/>
      <c r="EM9" s="61"/>
      <c r="EN9" s="61"/>
      <c r="EO9" s="61"/>
      <c r="EP9" s="61"/>
      <c r="EQ9" s="61"/>
      <c r="ER9" s="61"/>
      <c r="ES9" s="61"/>
      <c r="ET9" s="61"/>
      <c r="EU9" s="61"/>
      <c r="EV9" s="61"/>
      <c r="EW9" s="61"/>
      <c r="EX9" s="61"/>
      <c r="EY9" s="61"/>
      <c r="EZ9" s="61"/>
      <c r="FA9" s="61"/>
      <c r="FB9" s="61"/>
      <c r="FC9" s="61"/>
      <c r="FD9" s="61"/>
      <c r="FE9" s="61"/>
      <c r="FF9" s="61"/>
      <c r="FG9" s="61"/>
      <c r="FH9" s="61"/>
      <c r="FI9" s="61"/>
      <c r="FJ9" s="61"/>
      <c r="FK9" s="61"/>
      <c r="FL9" s="61"/>
      <c r="FM9" s="61"/>
      <c r="FN9" s="61"/>
      <c r="FO9" s="61"/>
      <c r="FP9" s="61"/>
      <c r="FQ9" s="61"/>
      <c r="FR9" s="61"/>
      <c r="FS9" s="61"/>
      <c r="FT9" s="61"/>
      <c r="FU9" s="61"/>
      <c r="FV9" s="61"/>
      <c r="FW9" s="61"/>
      <c r="FX9" s="61"/>
      <c r="FY9" s="61"/>
      <c r="FZ9" s="61"/>
      <c r="GA9" s="61"/>
      <c r="GB9" s="61"/>
      <c r="GC9" s="61"/>
      <c r="GD9" s="61"/>
      <c r="GE9" s="61"/>
      <c r="GF9" s="61"/>
      <c r="GG9" s="61"/>
      <c r="GH9" s="61"/>
      <c r="GI9" s="61"/>
      <c r="GJ9" s="61"/>
      <c r="GK9" s="61"/>
      <c r="GL9" s="61"/>
      <c r="GM9" s="61"/>
      <c r="GN9" s="61"/>
      <c r="GO9" s="61"/>
      <c r="GP9" s="61"/>
      <c r="GQ9" s="61"/>
      <c r="GR9" s="61"/>
      <c r="GS9" s="61"/>
      <c r="GT9" s="61"/>
      <c r="GU9" s="61"/>
      <c r="GV9" s="61"/>
      <c r="GW9" s="61"/>
      <c r="GX9" s="61"/>
      <c r="GY9" s="61"/>
      <c r="GZ9" s="61"/>
      <c r="HA9" s="61"/>
      <c r="HB9" s="61"/>
      <c r="HC9" s="61"/>
      <c r="HD9" s="61"/>
      <c r="HE9" s="61"/>
      <c r="HF9" s="61"/>
      <c r="HG9" s="61"/>
      <c r="HH9" s="61"/>
      <c r="HI9" s="61"/>
      <c r="HJ9" s="61"/>
      <c r="HK9" s="61"/>
      <c r="HL9" s="61"/>
      <c r="HM9" s="61"/>
      <c r="HN9" s="61"/>
      <c r="HO9" s="61"/>
      <c r="HP9" s="61"/>
      <c r="HQ9" s="61"/>
      <c r="HR9" s="61"/>
      <c r="HS9" s="61"/>
      <c r="HT9" s="61"/>
      <c r="HU9" s="61"/>
      <c r="HV9" s="61"/>
      <c r="HW9" s="61"/>
      <c r="HX9" s="61"/>
      <c r="HY9" s="61"/>
      <c r="HZ9" s="61"/>
      <c r="IA9" s="61"/>
      <c r="IB9" s="61"/>
      <c r="IC9" s="61"/>
      <c r="ID9" s="61"/>
      <c r="IE9" s="61"/>
      <c r="IF9" s="61"/>
      <c r="IG9" s="61"/>
      <c r="IH9" s="61"/>
      <c r="II9" s="61"/>
      <c r="IJ9" s="61"/>
      <c r="IK9" s="61"/>
      <c r="IL9" s="61"/>
      <c r="IM9" s="61"/>
      <c r="IN9" s="61"/>
      <c r="IO9" s="61"/>
      <c r="IP9" s="61"/>
      <c r="IQ9" s="61"/>
      <c r="IR9" s="61"/>
      <c r="IS9" s="61"/>
      <c r="IT9" s="61"/>
      <c r="IU9" s="61"/>
      <c r="IV9" s="61"/>
      <c r="IW9" s="61"/>
      <c r="IX9" s="61"/>
      <c r="IY9" s="61"/>
      <c r="IZ9" s="61"/>
    </row>
    <row r="10" spans="1:260" s="62" customFormat="1" ht="9" customHeight="1" x14ac:dyDescent="0.2">
      <c r="A10" s="78"/>
      <c r="B10" s="78"/>
      <c r="C10" s="78"/>
      <c r="D10" s="78"/>
      <c r="E10" s="83"/>
      <c r="F10" s="83"/>
      <c r="G10" s="83"/>
      <c r="H10" s="83"/>
      <c r="I10" s="83"/>
      <c r="J10" s="84"/>
      <c r="K10" s="85"/>
      <c r="L10" s="96"/>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61"/>
      <c r="DA10" s="61"/>
      <c r="DB10" s="61"/>
      <c r="DC10" s="61"/>
      <c r="DD10" s="61"/>
      <c r="DE10" s="61"/>
      <c r="DF10" s="61"/>
      <c r="DG10" s="61"/>
      <c r="DH10" s="61"/>
      <c r="DI10" s="61"/>
      <c r="DJ10" s="61"/>
      <c r="DK10" s="61"/>
      <c r="DL10" s="61"/>
      <c r="DM10" s="61"/>
      <c r="DN10" s="61"/>
      <c r="DO10" s="61"/>
      <c r="DP10" s="61"/>
      <c r="DQ10" s="61"/>
      <c r="DR10" s="61"/>
      <c r="DS10" s="61"/>
      <c r="DT10" s="61"/>
      <c r="DU10" s="61"/>
      <c r="DV10" s="61"/>
      <c r="DW10" s="61"/>
      <c r="DX10" s="61"/>
      <c r="DY10" s="61"/>
      <c r="DZ10" s="61"/>
      <c r="EA10" s="61"/>
      <c r="EB10" s="61"/>
      <c r="EC10" s="61"/>
      <c r="ED10" s="61"/>
      <c r="EE10" s="61"/>
      <c r="EF10" s="61"/>
      <c r="EG10" s="61"/>
      <c r="EH10" s="61"/>
      <c r="EI10" s="61"/>
      <c r="EJ10" s="61"/>
      <c r="EK10" s="61"/>
      <c r="EL10" s="61"/>
      <c r="EM10" s="61"/>
      <c r="EN10" s="61"/>
      <c r="EO10" s="61"/>
      <c r="EP10" s="61"/>
      <c r="EQ10" s="61"/>
      <c r="ER10" s="61"/>
      <c r="ES10" s="61"/>
      <c r="ET10" s="61"/>
      <c r="EU10" s="61"/>
      <c r="EV10" s="61"/>
      <c r="EW10" s="61"/>
      <c r="EX10" s="61"/>
      <c r="EY10" s="61"/>
      <c r="EZ10" s="61"/>
      <c r="FA10" s="61"/>
      <c r="FB10" s="61"/>
      <c r="FC10" s="61"/>
      <c r="FD10" s="61"/>
      <c r="FE10" s="61"/>
      <c r="FF10" s="61"/>
      <c r="FG10" s="61"/>
      <c r="FH10" s="61"/>
      <c r="FI10" s="61"/>
      <c r="FJ10" s="61"/>
      <c r="FK10" s="61"/>
      <c r="FL10" s="61"/>
      <c r="FM10" s="61"/>
      <c r="FN10" s="61"/>
      <c r="FO10" s="61"/>
      <c r="FP10" s="61"/>
      <c r="FQ10" s="61"/>
      <c r="FR10" s="61"/>
      <c r="FS10" s="61"/>
      <c r="FT10" s="61"/>
      <c r="FU10" s="61"/>
      <c r="FV10" s="61"/>
      <c r="FW10" s="61"/>
      <c r="FX10" s="61"/>
      <c r="FY10" s="61"/>
      <c r="FZ10" s="61"/>
      <c r="GA10" s="61"/>
      <c r="GB10" s="61"/>
      <c r="GC10" s="61"/>
      <c r="GD10" s="61"/>
      <c r="GE10" s="61"/>
      <c r="GF10" s="61"/>
      <c r="GG10" s="61"/>
      <c r="GH10" s="61"/>
      <c r="GI10" s="61"/>
      <c r="GJ10" s="61"/>
      <c r="GK10" s="61"/>
      <c r="GL10" s="61"/>
      <c r="GM10" s="61"/>
      <c r="GN10" s="61"/>
      <c r="GO10" s="61"/>
      <c r="GP10" s="61"/>
      <c r="GQ10" s="61"/>
      <c r="GR10" s="61"/>
      <c r="GS10" s="61"/>
      <c r="GT10" s="61"/>
      <c r="GU10" s="61"/>
      <c r="GV10" s="61"/>
      <c r="GW10" s="61"/>
      <c r="GX10" s="61"/>
      <c r="GY10" s="61"/>
      <c r="GZ10" s="61"/>
      <c r="HA10" s="61"/>
      <c r="HB10" s="61"/>
      <c r="HC10" s="61"/>
      <c r="HD10" s="61"/>
      <c r="HE10" s="61"/>
      <c r="HF10" s="61"/>
      <c r="HG10" s="61"/>
      <c r="HH10" s="61"/>
      <c r="HI10" s="61"/>
      <c r="HJ10" s="61"/>
      <c r="HK10" s="61"/>
      <c r="HL10" s="61"/>
      <c r="HM10" s="61"/>
      <c r="HN10" s="61"/>
      <c r="HO10" s="61"/>
      <c r="HP10" s="61"/>
      <c r="HQ10" s="61"/>
      <c r="HR10" s="61"/>
      <c r="HS10" s="61"/>
      <c r="HT10" s="61"/>
      <c r="HU10" s="61"/>
      <c r="HV10" s="61"/>
      <c r="HW10" s="61"/>
      <c r="HX10" s="61"/>
      <c r="HY10" s="61"/>
      <c r="HZ10" s="61"/>
      <c r="IA10" s="61"/>
      <c r="IB10" s="61"/>
      <c r="IC10" s="61"/>
      <c r="ID10" s="61"/>
      <c r="IE10" s="61"/>
      <c r="IF10" s="61"/>
      <c r="IG10" s="61"/>
      <c r="IH10" s="61"/>
      <c r="II10" s="61"/>
      <c r="IJ10" s="61"/>
      <c r="IK10" s="61"/>
      <c r="IL10" s="61"/>
      <c r="IM10" s="61"/>
      <c r="IN10" s="61"/>
      <c r="IO10" s="61"/>
      <c r="IP10" s="61"/>
      <c r="IQ10" s="61"/>
      <c r="IR10" s="61"/>
      <c r="IS10" s="61"/>
      <c r="IT10" s="61"/>
      <c r="IU10" s="61"/>
      <c r="IV10" s="61"/>
      <c r="IW10" s="61"/>
      <c r="IX10" s="61"/>
      <c r="IY10" s="61"/>
      <c r="IZ10" s="61"/>
    </row>
    <row r="11" spans="1:260" s="62" customFormat="1" ht="15" customHeight="1" x14ac:dyDescent="0.2">
      <c r="A11" s="78"/>
      <c r="B11" s="78"/>
      <c r="C11" s="78"/>
      <c r="D11" s="78"/>
      <c r="E11" s="83"/>
      <c r="F11" s="83"/>
      <c r="G11" s="83"/>
      <c r="H11" s="83"/>
      <c r="I11" s="83"/>
      <c r="J11" s="84"/>
      <c r="K11" s="85"/>
      <c r="L11" s="96"/>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61"/>
      <c r="DA11" s="61"/>
      <c r="DB11" s="61"/>
      <c r="DC11" s="61"/>
      <c r="DD11" s="61"/>
      <c r="DE11" s="61"/>
      <c r="DF11" s="61"/>
      <c r="DG11" s="61"/>
      <c r="DH11" s="61"/>
      <c r="DI11" s="61"/>
      <c r="DJ11" s="61"/>
      <c r="DK11" s="61"/>
      <c r="DL11" s="61"/>
      <c r="DM11" s="61"/>
      <c r="DN11" s="61"/>
      <c r="DO11" s="61"/>
      <c r="DP11" s="61"/>
      <c r="DQ11" s="61"/>
      <c r="DR11" s="61"/>
      <c r="DS11" s="61"/>
      <c r="DT11" s="61"/>
      <c r="DU11" s="61"/>
      <c r="DV11" s="61"/>
      <c r="DW11" s="61"/>
      <c r="DX11" s="61"/>
      <c r="DY11" s="61"/>
      <c r="DZ11" s="61"/>
      <c r="EA11" s="61"/>
      <c r="EB11" s="61"/>
      <c r="EC11" s="61"/>
      <c r="ED11" s="61"/>
      <c r="EE11" s="61"/>
      <c r="EF11" s="61"/>
      <c r="EG11" s="61"/>
      <c r="EH11" s="61"/>
      <c r="EI11" s="61"/>
      <c r="EJ11" s="61"/>
      <c r="EK11" s="61"/>
      <c r="EL11" s="61"/>
      <c r="EM11" s="61"/>
      <c r="EN11" s="61"/>
      <c r="EO11" s="61"/>
      <c r="EP11" s="61"/>
      <c r="EQ11" s="61"/>
      <c r="ER11" s="61"/>
      <c r="ES11" s="61"/>
      <c r="ET11" s="61"/>
      <c r="EU11" s="61"/>
      <c r="EV11" s="61"/>
      <c r="EW11" s="61"/>
      <c r="EX11" s="61"/>
      <c r="EY11" s="61"/>
      <c r="EZ11" s="61"/>
      <c r="FA11" s="61"/>
      <c r="FB11" s="61"/>
      <c r="FC11" s="61"/>
      <c r="FD11" s="61"/>
      <c r="FE11" s="61"/>
      <c r="FF11" s="61"/>
      <c r="FG11" s="61"/>
      <c r="FH11" s="61"/>
      <c r="FI11" s="61"/>
      <c r="FJ11" s="61"/>
      <c r="FK11" s="61"/>
      <c r="FL11" s="61"/>
      <c r="FM11" s="61"/>
      <c r="FN11" s="61"/>
      <c r="FO11" s="61"/>
      <c r="FP11" s="61"/>
      <c r="FQ11" s="61"/>
      <c r="FR11" s="61"/>
      <c r="FS11" s="61"/>
      <c r="FT11" s="61"/>
      <c r="FU11" s="61"/>
      <c r="FV11" s="61"/>
      <c r="FW11" s="61"/>
      <c r="FX11" s="61"/>
      <c r="FY11" s="61"/>
      <c r="FZ11" s="61"/>
      <c r="GA11" s="61"/>
      <c r="GB11" s="61"/>
      <c r="GC11" s="61"/>
      <c r="GD11" s="61"/>
      <c r="GE11" s="61"/>
      <c r="GF11" s="61"/>
      <c r="GG11" s="61"/>
      <c r="GH11" s="61"/>
      <c r="GI11" s="61"/>
      <c r="GJ11" s="61"/>
      <c r="GK11" s="61"/>
      <c r="GL11" s="61"/>
      <c r="GM11" s="61"/>
      <c r="GN11" s="61"/>
      <c r="GO11" s="61"/>
      <c r="GP11" s="61"/>
      <c r="GQ11" s="61"/>
      <c r="GR11" s="61"/>
      <c r="GS11" s="61"/>
      <c r="GT11" s="61"/>
      <c r="GU11" s="61"/>
      <c r="GV11" s="61"/>
      <c r="GW11" s="61"/>
      <c r="GX11" s="61"/>
      <c r="GY11" s="61"/>
      <c r="GZ11" s="61"/>
      <c r="HA11" s="61"/>
      <c r="HB11" s="61"/>
      <c r="HC11" s="61"/>
      <c r="HD11" s="61"/>
      <c r="HE11" s="61"/>
      <c r="HF11" s="61"/>
      <c r="HG11" s="61"/>
      <c r="HH11" s="61"/>
      <c r="HI11" s="61"/>
      <c r="HJ11" s="61"/>
      <c r="HK11" s="61"/>
      <c r="HL11" s="61"/>
      <c r="HM11" s="61"/>
      <c r="HN11" s="61"/>
      <c r="HO11" s="61"/>
      <c r="HP11" s="61"/>
      <c r="HQ11" s="61"/>
      <c r="HR11" s="61"/>
      <c r="HS11" s="61"/>
      <c r="HT11" s="61"/>
      <c r="HU11" s="61"/>
      <c r="HV11" s="61"/>
      <c r="HW11" s="61"/>
      <c r="HX11" s="61"/>
      <c r="HY11" s="61"/>
      <c r="HZ11" s="61"/>
      <c r="IA11" s="61"/>
      <c r="IB11" s="61"/>
      <c r="IC11" s="61"/>
      <c r="ID11" s="61"/>
      <c r="IE11" s="61"/>
      <c r="IF11" s="61"/>
      <c r="IG11" s="61"/>
      <c r="IH11" s="61"/>
      <c r="II11" s="61"/>
      <c r="IJ11" s="61"/>
      <c r="IK11" s="61"/>
      <c r="IL11" s="61"/>
      <c r="IM11" s="61"/>
      <c r="IN11" s="61"/>
      <c r="IO11" s="61"/>
      <c r="IP11" s="61"/>
      <c r="IQ11" s="61"/>
      <c r="IR11" s="61"/>
      <c r="IS11" s="61"/>
      <c r="IT11" s="61"/>
      <c r="IU11" s="61"/>
      <c r="IV11" s="61"/>
      <c r="IW11" s="61"/>
      <c r="IX11" s="61"/>
      <c r="IY11" s="61"/>
      <c r="IZ11" s="61"/>
    </row>
    <row r="12" spans="1:260" s="62" customFormat="1" ht="15" customHeight="1" x14ac:dyDescent="0.2">
      <c r="A12" s="78"/>
      <c r="B12" s="78"/>
      <c r="C12" s="78"/>
      <c r="D12" s="78"/>
      <c r="E12" s="83"/>
      <c r="F12" s="83"/>
      <c r="G12" s="83"/>
      <c r="H12" s="83"/>
      <c r="I12" s="83"/>
      <c r="J12" s="84"/>
      <c r="K12" s="85"/>
      <c r="L12" s="96"/>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c r="EJ12" s="61"/>
      <c r="EK12" s="61"/>
      <c r="EL12" s="61"/>
      <c r="EM12" s="61"/>
      <c r="EN12" s="61"/>
      <c r="EO12" s="61"/>
      <c r="EP12" s="61"/>
      <c r="EQ12" s="61"/>
      <c r="ER12" s="61"/>
      <c r="ES12" s="61"/>
      <c r="ET12" s="61"/>
      <c r="EU12" s="61"/>
      <c r="EV12" s="61"/>
      <c r="EW12" s="61"/>
      <c r="EX12" s="61"/>
      <c r="EY12" s="61"/>
      <c r="EZ12" s="61"/>
      <c r="FA12" s="61"/>
      <c r="FB12" s="61"/>
      <c r="FC12" s="61"/>
      <c r="FD12" s="61"/>
      <c r="FE12" s="61"/>
      <c r="FF12" s="61"/>
      <c r="FG12" s="61"/>
      <c r="FH12" s="61"/>
      <c r="FI12" s="61"/>
      <c r="FJ12" s="61"/>
      <c r="FK12" s="61"/>
      <c r="FL12" s="61"/>
      <c r="FM12" s="61"/>
      <c r="FN12" s="61"/>
      <c r="FO12" s="61"/>
      <c r="FP12" s="61"/>
      <c r="FQ12" s="61"/>
      <c r="FR12" s="61"/>
      <c r="FS12" s="61"/>
      <c r="FT12" s="61"/>
      <c r="FU12" s="61"/>
      <c r="FV12" s="61"/>
      <c r="FW12" s="61"/>
      <c r="FX12" s="61"/>
      <c r="FY12" s="61"/>
      <c r="FZ12" s="61"/>
      <c r="GA12" s="61"/>
      <c r="GB12" s="61"/>
      <c r="GC12" s="61"/>
      <c r="GD12" s="61"/>
      <c r="GE12" s="61"/>
      <c r="GF12" s="61"/>
      <c r="GG12" s="61"/>
      <c r="GH12" s="61"/>
      <c r="GI12" s="61"/>
      <c r="GJ12" s="61"/>
      <c r="GK12" s="61"/>
      <c r="GL12" s="61"/>
      <c r="GM12" s="61"/>
      <c r="GN12" s="61"/>
      <c r="GO12" s="61"/>
      <c r="GP12" s="61"/>
      <c r="GQ12" s="61"/>
      <c r="GR12" s="61"/>
      <c r="GS12" s="61"/>
      <c r="GT12" s="61"/>
      <c r="GU12" s="61"/>
      <c r="GV12" s="61"/>
      <c r="GW12" s="61"/>
      <c r="GX12" s="61"/>
      <c r="GY12" s="61"/>
      <c r="GZ12" s="61"/>
      <c r="HA12" s="61"/>
      <c r="HB12" s="61"/>
      <c r="HC12" s="61"/>
      <c r="HD12" s="61"/>
      <c r="HE12" s="61"/>
      <c r="HF12" s="61"/>
      <c r="HG12" s="61"/>
      <c r="HH12" s="61"/>
      <c r="HI12" s="61"/>
      <c r="HJ12" s="61"/>
      <c r="HK12" s="61"/>
      <c r="HL12" s="61"/>
      <c r="HM12" s="61"/>
      <c r="HN12" s="61"/>
      <c r="HO12" s="61"/>
      <c r="HP12" s="61"/>
      <c r="HQ12" s="61"/>
      <c r="HR12" s="61"/>
      <c r="HS12" s="61"/>
      <c r="HT12" s="61"/>
      <c r="HU12" s="61"/>
      <c r="HV12" s="61"/>
      <c r="HW12" s="61"/>
      <c r="HX12" s="61"/>
      <c r="HY12" s="61"/>
      <c r="HZ12" s="61"/>
      <c r="IA12" s="61"/>
      <c r="IB12" s="61"/>
      <c r="IC12" s="61"/>
      <c r="ID12" s="61"/>
      <c r="IE12" s="61"/>
      <c r="IF12" s="61"/>
      <c r="IG12" s="61"/>
      <c r="IH12" s="61"/>
      <c r="II12" s="61"/>
      <c r="IJ12" s="61"/>
      <c r="IK12" s="61"/>
      <c r="IL12" s="61"/>
      <c r="IM12" s="61"/>
      <c r="IN12" s="61"/>
      <c r="IO12" s="61"/>
      <c r="IP12" s="61"/>
      <c r="IQ12" s="61"/>
      <c r="IR12" s="61"/>
      <c r="IS12" s="61"/>
      <c r="IT12" s="61"/>
      <c r="IU12" s="61"/>
      <c r="IV12" s="61"/>
      <c r="IW12" s="61"/>
      <c r="IX12" s="61"/>
      <c r="IY12" s="61"/>
      <c r="IZ12" s="61"/>
    </row>
    <row r="13" spans="1:260" s="62" customFormat="1" ht="15" customHeight="1" x14ac:dyDescent="0.2">
      <c r="A13" s="78"/>
      <c r="B13" s="78"/>
      <c r="C13" s="78"/>
      <c r="D13" s="78"/>
      <c r="E13" s="83"/>
      <c r="F13" s="83"/>
      <c r="G13" s="83"/>
      <c r="H13" s="83"/>
      <c r="I13" s="83"/>
      <c r="J13" s="84"/>
      <c r="K13" s="85"/>
      <c r="L13" s="96"/>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c r="IV13" s="61"/>
      <c r="IW13" s="61"/>
      <c r="IX13" s="61"/>
      <c r="IY13" s="61"/>
      <c r="IZ13" s="61"/>
    </row>
    <row r="14" spans="1:260" s="62" customFormat="1" ht="15" customHeight="1" x14ac:dyDescent="0.2">
      <c r="A14" s="78"/>
      <c r="B14" s="78"/>
      <c r="C14" s="78"/>
      <c r="D14" s="78"/>
      <c r="E14" s="83"/>
      <c r="F14" s="83"/>
      <c r="G14" s="83"/>
      <c r="H14" s="83"/>
      <c r="I14" s="83"/>
      <c r="J14" s="84"/>
      <c r="K14" s="85"/>
      <c r="L14" s="96"/>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1"/>
      <c r="DV14" s="61"/>
      <c r="DW14" s="61"/>
      <c r="DX14" s="61"/>
      <c r="DY14" s="61"/>
      <c r="DZ14" s="61"/>
      <c r="EA14" s="61"/>
      <c r="EB14" s="61"/>
      <c r="EC14" s="61"/>
      <c r="ED14" s="61"/>
      <c r="EE14" s="61"/>
      <c r="EF14" s="61"/>
      <c r="EG14" s="61"/>
      <c r="EH14" s="61"/>
      <c r="EI14" s="61"/>
      <c r="EJ14" s="61"/>
      <c r="EK14" s="61"/>
      <c r="EL14" s="61"/>
      <c r="EM14" s="61"/>
      <c r="EN14" s="61"/>
      <c r="EO14" s="61"/>
      <c r="EP14" s="61"/>
      <c r="EQ14" s="61"/>
      <c r="ER14" s="61"/>
      <c r="ES14" s="61"/>
      <c r="ET14" s="61"/>
      <c r="EU14" s="61"/>
      <c r="EV14" s="61"/>
      <c r="EW14" s="61"/>
      <c r="EX14" s="61"/>
      <c r="EY14" s="61"/>
      <c r="EZ14" s="61"/>
      <c r="FA14" s="61"/>
      <c r="FB14" s="61"/>
      <c r="FC14" s="61"/>
      <c r="FD14" s="61"/>
      <c r="FE14" s="61"/>
      <c r="FF14" s="61"/>
      <c r="FG14" s="61"/>
      <c r="FH14" s="61"/>
      <c r="FI14" s="61"/>
      <c r="FJ14" s="61"/>
      <c r="FK14" s="61"/>
      <c r="FL14" s="61"/>
      <c r="FM14" s="61"/>
      <c r="FN14" s="61"/>
      <c r="FO14" s="61"/>
      <c r="FP14" s="61"/>
      <c r="FQ14" s="61"/>
      <c r="FR14" s="61"/>
      <c r="FS14" s="61"/>
      <c r="FT14" s="61"/>
      <c r="FU14" s="61"/>
      <c r="FV14" s="61"/>
      <c r="FW14" s="61"/>
      <c r="FX14" s="61"/>
      <c r="FY14" s="61"/>
      <c r="FZ14" s="61"/>
      <c r="GA14" s="61"/>
      <c r="GB14" s="61"/>
      <c r="GC14" s="61"/>
      <c r="GD14" s="61"/>
      <c r="GE14" s="61"/>
      <c r="GF14" s="61"/>
      <c r="GG14" s="61"/>
      <c r="GH14" s="61"/>
      <c r="GI14" s="61"/>
      <c r="GJ14" s="61"/>
      <c r="GK14" s="61"/>
      <c r="GL14" s="61"/>
      <c r="GM14" s="61"/>
      <c r="GN14" s="61"/>
      <c r="GO14" s="61"/>
      <c r="GP14" s="61"/>
      <c r="GQ14" s="61"/>
      <c r="GR14" s="61"/>
      <c r="GS14" s="61"/>
      <c r="GT14" s="61"/>
      <c r="GU14" s="61"/>
      <c r="GV14" s="61"/>
      <c r="GW14" s="61"/>
      <c r="GX14" s="61"/>
      <c r="GY14" s="61"/>
      <c r="GZ14" s="61"/>
      <c r="HA14" s="61"/>
      <c r="HB14" s="61"/>
      <c r="HC14" s="61"/>
      <c r="HD14" s="61"/>
      <c r="HE14" s="61"/>
      <c r="HF14" s="61"/>
      <c r="HG14" s="61"/>
      <c r="HH14" s="61"/>
      <c r="HI14" s="61"/>
      <c r="HJ14" s="61"/>
      <c r="HK14" s="61"/>
      <c r="HL14" s="61"/>
      <c r="HM14" s="61"/>
      <c r="HN14" s="61"/>
      <c r="HO14" s="61"/>
      <c r="HP14" s="61"/>
      <c r="HQ14" s="61"/>
      <c r="HR14" s="61"/>
      <c r="HS14" s="61"/>
      <c r="HT14" s="61"/>
      <c r="HU14" s="61"/>
      <c r="HV14" s="61"/>
      <c r="HW14" s="61"/>
      <c r="HX14" s="61"/>
      <c r="HY14" s="61"/>
      <c r="HZ14" s="61"/>
      <c r="IA14" s="61"/>
      <c r="IB14" s="61"/>
      <c r="IC14" s="61"/>
      <c r="ID14" s="61"/>
      <c r="IE14" s="61"/>
      <c r="IF14" s="61"/>
      <c r="IG14" s="61"/>
      <c r="IH14" s="61"/>
      <c r="II14" s="61"/>
      <c r="IJ14" s="61"/>
      <c r="IK14" s="61"/>
      <c r="IL14" s="61"/>
      <c r="IM14" s="61"/>
      <c r="IN14" s="61"/>
      <c r="IO14" s="61"/>
      <c r="IP14" s="61"/>
      <c r="IQ14" s="61"/>
      <c r="IR14" s="61"/>
      <c r="IS14" s="61"/>
      <c r="IT14" s="61"/>
      <c r="IU14" s="61"/>
      <c r="IV14" s="61"/>
      <c r="IW14" s="61"/>
      <c r="IX14" s="61"/>
      <c r="IY14" s="61"/>
      <c r="IZ14" s="61"/>
    </row>
    <row r="15" spans="1:260" s="62" customFormat="1" ht="15" customHeight="1" x14ac:dyDescent="0.2">
      <c r="A15" s="78"/>
      <c r="B15" s="78"/>
      <c r="C15" s="78"/>
      <c r="D15" s="78"/>
      <c r="E15" s="83"/>
      <c r="F15" s="83"/>
      <c r="G15" s="83"/>
      <c r="H15" s="83"/>
      <c r="I15" s="83"/>
      <c r="J15" s="84"/>
      <c r="K15" s="85"/>
      <c r="L15" s="96"/>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c r="CA15" s="61"/>
      <c r="CB15" s="61"/>
      <c r="CC15" s="61"/>
      <c r="CD15" s="61"/>
      <c r="CE15" s="61"/>
      <c r="CF15" s="61"/>
      <c r="CG15" s="61"/>
      <c r="CH15" s="61"/>
      <c r="CI15" s="61"/>
      <c r="CJ15" s="61"/>
      <c r="CK15" s="61"/>
      <c r="CL15" s="61"/>
      <c r="CM15" s="61"/>
      <c r="CN15" s="61"/>
      <c r="CO15" s="61"/>
      <c r="CP15" s="61"/>
      <c r="CQ15" s="61"/>
      <c r="CR15" s="61"/>
      <c r="CS15" s="61"/>
      <c r="CT15" s="61"/>
      <c r="CU15" s="61"/>
      <c r="CV15" s="61"/>
      <c r="CW15" s="61"/>
      <c r="CX15" s="61"/>
      <c r="CY15" s="61"/>
      <c r="CZ15" s="61"/>
      <c r="DA15" s="61"/>
      <c r="DB15" s="61"/>
      <c r="DC15" s="61"/>
      <c r="DD15" s="61"/>
      <c r="DE15" s="61"/>
      <c r="DF15" s="61"/>
      <c r="DG15" s="61"/>
      <c r="DH15" s="61"/>
      <c r="DI15" s="61"/>
      <c r="DJ15" s="61"/>
      <c r="DK15" s="61"/>
      <c r="DL15" s="61"/>
      <c r="DM15" s="61"/>
      <c r="DN15" s="61"/>
      <c r="DO15" s="61"/>
      <c r="DP15" s="61"/>
      <c r="DQ15" s="61"/>
      <c r="DR15" s="61"/>
      <c r="DS15" s="61"/>
      <c r="DT15" s="61"/>
      <c r="DU15" s="61"/>
      <c r="DV15" s="61"/>
      <c r="DW15" s="61"/>
      <c r="DX15" s="61"/>
      <c r="DY15" s="61"/>
      <c r="DZ15" s="61"/>
      <c r="EA15" s="61"/>
      <c r="EB15" s="61"/>
      <c r="EC15" s="61"/>
      <c r="ED15" s="61"/>
      <c r="EE15" s="61"/>
      <c r="EF15" s="61"/>
      <c r="EG15" s="61"/>
      <c r="EH15" s="61"/>
      <c r="EI15" s="61"/>
      <c r="EJ15" s="61"/>
      <c r="EK15" s="61"/>
      <c r="EL15" s="61"/>
      <c r="EM15" s="61"/>
      <c r="EN15" s="61"/>
      <c r="EO15" s="61"/>
      <c r="EP15" s="61"/>
      <c r="EQ15" s="61"/>
      <c r="ER15" s="61"/>
      <c r="ES15" s="61"/>
      <c r="ET15" s="61"/>
      <c r="EU15" s="61"/>
      <c r="EV15" s="61"/>
      <c r="EW15" s="61"/>
      <c r="EX15" s="61"/>
      <c r="EY15" s="61"/>
      <c r="EZ15" s="61"/>
      <c r="FA15" s="61"/>
      <c r="FB15" s="61"/>
      <c r="FC15" s="61"/>
      <c r="FD15" s="61"/>
      <c r="FE15" s="61"/>
      <c r="FF15" s="61"/>
      <c r="FG15" s="61"/>
      <c r="FH15" s="61"/>
      <c r="FI15" s="61"/>
      <c r="FJ15" s="61"/>
      <c r="FK15" s="61"/>
      <c r="FL15" s="61"/>
      <c r="FM15" s="61"/>
      <c r="FN15" s="61"/>
      <c r="FO15" s="61"/>
      <c r="FP15" s="61"/>
      <c r="FQ15" s="61"/>
      <c r="FR15" s="61"/>
      <c r="FS15" s="61"/>
      <c r="FT15" s="61"/>
      <c r="FU15" s="61"/>
      <c r="FV15" s="61"/>
      <c r="FW15" s="61"/>
      <c r="FX15" s="61"/>
      <c r="FY15" s="61"/>
      <c r="FZ15" s="61"/>
      <c r="GA15" s="61"/>
      <c r="GB15" s="61"/>
      <c r="GC15" s="61"/>
      <c r="GD15" s="61"/>
      <c r="GE15" s="61"/>
      <c r="GF15" s="61"/>
      <c r="GG15" s="61"/>
      <c r="GH15" s="61"/>
      <c r="GI15" s="61"/>
      <c r="GJ15" s="61"/>
      <c r="GK15" s="61"/>
      <c r="GL15" s="61"/>
      <c r="GM15" s="61"/>
      <c r="GN15" s="61"/>
      <c r="GO15" s="61"/>
      <c r="GP15" s="61"/>
      <c r="GQ15" s="61"/>
      <c r="GR15" s="61"/>
      <c r="GS15" s="61"/>
      <c r="GT15" s="61"/>
      <c r="GU15" s="61"/>
      <c r="GV15" s="61"/>
      <c r="GW15" s="61"/>
      <c r="GX15" s="61"/>
      <c r="GY15" s="61"/>
      <c r="GZ15" s="61"/>
      <c r="HA15" s="61"/>
      <c r="HB15" s="61"/>
      <c r="HC15" s="61"/>
      <c r="HD15" s="61"/>
      <c r="HE15" s="61"/>
      <c r="HF15" s="61"/>
      <c r="HG15" s="61"/>
      <c r="HH15" s="61"/>
      <c r="HI15" s="61"/>
      <c r="HJ15" s="61"/>
      <c r="HK15" s="61"/>
      <c r="HL15" s="61"/>
      <c r="HM15" s="61"/>
      <c r="HN15" s="61"/>
      <c r="HO15" s="61"/>
      <c r="HP15" s="61"/>
      <c r="HQ15" s="61"/>
      <c r="HR15" s="61"/>
      <c r="HS15" s="61"/>
      <c r="HT15" s="61"/>
      <c r="HU15" s="61"/>
      <c r="HV15" s="61"/>
      <c r="HW15" s="61"/>
      <c r="HX15" s="61"/>
      <c r="HY15" s="61"/>
      <c r="HZ15" s="61"/>
      <c r="IA15" s="61"/>
      <c r="IB15" s="61"/>
      <c r="IC15" s="61"/>
      <c r="ID15" s="61"/>
      <c r="IE15" s="61"/>
      <c r="IF15" s="61"/>
      <c r="IG15" s="61"/>
      <c r="IH15" s="61"/>
      <c r="II15" s="61"/>
      <c r="IJ15" s="61"/>
      <c r="IK15" s="61"/>
      <c r="IL15" s="61"/>
      <c r="IM15" s="61"/>
      <c r="IN15" s="61"/>
      <c r="IO15" s="61"/>
      <c r="IP15" s="61"/>
      <c r="IQ15" s="61"/>
      <c r="IR15" s="61"/>
      <c r="IS15" s="61"/>
      <c r="IT15" s="61"/>
      <c r="IU15" s="61"/>
      <c r="IV15" s="61"/>
      <c r="IW15" s="61"/>
      <c r="IX15" s="61"/>
      <c r="IY15" s="61"/>
      <c r="IZ15" s="61"/>
    </row>
    <row r="16" spans="1:260" s="62" customFormat="1" ht="15" customHeight="1" x14ac:dyDescent="0.2">
      <c r="A16" s="78"/>
      <c r="B16" s="78"/>
      <c r="C16" s="78"/>
      <c r="D16" s="78"/>
      <c r="E16" s="83"/>
      <c r="F16" s="83"/>
      <c r="G16" s="83"/>
      <c r="H16" s="83"/>
      <c r="I16" s="83"/>
      <c r="J16" s="84"/>
      <c r="K16" s="85"/>
      <c r="L16" s="96"/>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c r="DA16" s="61"/>
      <c r="DB16" s="61"/>
      <c r="DC16" s="61"/>
      <c r="DD16" s="61"/>
      <c r="DE16" s="61"/>
      <c r="DF16" s="61"/>
      <c r="DG16" s="61"/>
      <c r="DH16" s="61"/>
      <c r="DI16" s="61"/>
      <c r="DJ16" s="61"/>
      <c r="DK16" s="61"/>
      <c r="DL16" s="61"/>
      <c r="DM16" s="61"/>
      <c r="DN16" s="61"/>
      <c r="DO16" s="61"/>
      <c r="DP16" s="61"/>
      <c r="DQ16" s="61"/>
      <c r="DR16" s="61"/>
      <c r="DS16" s="61"/>
      <c r="DT16" s="61"/>
      <c r="DU16" s="61"/>
      <c r="DV16" s="61"/>
      <c r="DW16" s="61"/>
      <c r="DX16" s="61"/>
      <c r="DY16" s="61"/>
      <c r="DZ16" s="61"/>
      <c r="EA16" s="61"/>
      <c r="EB16" s="61"/>
      <c r="EC16" s="61"/>
      <c r="ED16" s="61"/>
      <c r="EE16" s="61"/>
      <c r="EF16" s="61"/>
      <c r="EG16" s="61"/>
      <c r="EH16" s="61"/>
      <c r="EI16" s="61"/>
      <c r="EJ16" s="61"/>
      <c r="EK16" s="61"/>
      <c r="EL16" s="61"/>
      <c r="EM16" s="61"/>
      <c r="EN16" s="61"/>
      <c r="EO16" s="61"/>
      <c r="EP16" s="61"/>
      <c r="EQ16" s="61"/>
      <c r="ER16" s="61"/>
      <c r="ES16" s="61"/>
      <c r="ET16" s="61"/>
      <c r="EU16" s="61"/>
      <c r="EV16" s="61"/>
      <c r="EW16" s="61"/>
      <c r="EX16" s="61"/>
      <c r="EY16" s="61"/>
      <c r="EZ16" s="61"/>
      <c r="FA16" s="61"/>
      <c r="FB16" s="61"/>
      <c r="FC16" s="61"/>
      <c r="FD16" s="61"/>
      <c r="FE16" s="61"/>
      <c r="FF16" s="61"/>
      <c r="FG16" s="61"/>
      <c r="FH16" s="61"/>
      <c r="FI16" s="61"/>
      <c r="FJ16" s="61"/>
      <c r="FK16" s="61"/>
      <c r="FL16" s="61"/>
      <c r="FM16" s="61"/>
      <c r="FN16" s="61"/>
      <c r="FO16" s="61"/>
      <c r="FP16" s="61"/>
      <c r="FQ16" s="61"/>
      <c r="FR16" s="61"/>
      <c r="FS16" s="61"/>
      <c r="FT16" s="61"/>
      <c r="FU16" s="61"/>
      <c r="FV16" s="61"/>
      <c r="FW16" s="61"/>
      <c r="FX16" s="61"/>
      <c r="FY16" s="61"/>
      <c r="FZ16" s="61"/>
      <c r="GA16" s="61"/>
      <c r="GB16" s="61"/>
      <c r="GC16" s="61"/>
      <c r="GD16" s="61"/>
      <c r="GE16" s="61"/>
      <c r="GF16" s="61"/>
      <c r="GG16" s="61"/>
      <c r="GH16" s="61"/>
      <c r="GI16" s="61"/>
      <c r="GJ16" s="61"/>
      <c r="GK16" s="61"/>
      <c r="GL16" s="61"/>
      <c r="GM16" s="61"/>
      <c r="GN16" s="61"/>
      <c r="GO16" s="61"/>
      <c r="GP16" s="61"/>
      <c r="GQ16" s="61"/>
      <c r="GR16" s="61"/>
      <c r="GS16" s="61"/>
      <c r="GT16" s="61"/>
      <c r="GU16" s="61"/>
      <c r="GV16" s="61"/>
      <c r="GW16" s="61"/>
      <c r="GX16" s="61"/>
      <c r="GY16" s="61"/>
      <c r="GZ16" s="61"/>
      <c r="HA16" s="61"/>
      <c r="HB16" s="61"/>
      <c r="HC16" s="61"/>
      <c r="HD16" s="61"/>
      <c r="HE16" s="61"/>
      <c r="HF16" s="61"/>
      <c r="HG16" s="61"/>
      <c r="HH16" s="61"/>
      <c r="HI16" s="61"/>
      <c r="HJ16" s="61"/>
      <c r="HK16" s="61"/>
      <c r="HL16" s="61"/>
      <c r="HM16" s="61"/>
      <c r="HN16" s="61"/>
      <c r="HO16" s="61"/>
      <c r="HP16" s="61"/>
      <c r="HQ16" s="61"/>
      <c r="HR16" s="61"/>
      <c r="HS16" s="61"/>
      <c r="HT16" s="61"/>
      <c r="HU16" s="61"/>
      <c r="HV16" s="61"/>
      <c r="HW16" s="61"/>
      <c r="HX16" s="61"/>
      <c r="HY16" s="61"/>
      <c r="HZ16" s="61"/>
      <c r="IA16" s="61"/>
      <c r="IB16" s="61"/>
      <c r="IC16" s="61"/>
      <c r="ID16" s="61"/>
      <c r="IE16" s="61"/>
      <c r="IF16" s="61"/>
      <c r="IG16" s="61"/>
      <c r="IH16" s="61"/>
      <c r="II16" s="61"/>
      <c r="IJ16" s="61"/>
      <c r="IK16" s="61"/>
      <c r="IL16" s="61"/>
      <c r="IM16" s="61"/>
      <c r="IN16" s="61"/>
      <c r="IO16" s="61"/>
      <c r="IP16" s="61"/>
      <c r="IQ16" s="61"/>
      <c r="IR16" s="61"/>
      <c r="IS16" s="61"/>
      <c r="IT16" s="61"/>
      <c r="IU16" s="61"/>
      <c r="IV16" s="61"/>
      <c r="IW16" s="61"/>
      <c r="IX16" s="61"/>
      <c r="IY16" s="61"/>
      <c r="IZ16" s="61"/>
    </row>
    <row r="17" spans="1:260" s="62" customFormat="1" ht="15" customHeight="1" x14ac:dyDescent="0.2">
      <c r="A17" s="78"/>
      <c r="B17" s="78"/>
      <c r="C17" s="78"/>
      <c r="D17" s="78"/>
      <c r="E17" s="83"/>
      <c r="F17" s="83"/>
      <c r="G17" s="83"/>
      <c r="H17" s="83"/>
      <c r="I17" s="83"/>
      <c r="J17" s="84"/>
      <c r="K17" s="85"/>
      <c r="L17" s="96"/>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c r="DA17" s="61"/>
      <c r="DB17" s="61"/>
      <c r="DC17" s="61"/>
      <c r="DD17" s="61"/>
      <c r="DE17" s="61"/>
      <c r="DF17" s="61"/>
      <c r="DG17" s="61"/>
      <c r="DH17" s="61"/>
      <c r="DI17" s="61"/>
      <c r="DJ17" s="61"/>
      <c r="DK17" s="61"/>
      <c r="DL17" s="61"/>
      <c r="DM17" s="61"/>
      <c r="DN17" s="61"/>
      <c r="DO17" s="61"/>
      <c r="DP17" s="61"/>
      <c r="DQ17" s="61"/>
      <c r="DR17" s="61"/>
      <c r="DS17" s="61"/>
      <c r="DT17" s="61"/>
      <c r="DU17" s="61"/>
      <c r="DV17" s="61"/>
      <c r="DW17" s="61"/>
      <c r="DX17" s="61"/>
      <c r="DY17" s="61"/>
      <c r="DZ17" s="61"/>
      <c r="EA17" s="61"/>
      <c r="EB17" s="61"/>
      <c r="EC17" s="61"/>
      <c r="ED17" s="61"/>
      <c r="EE17" s="61"/>
      <c r="EF17" s="61"/>
      <c r="EG17" s="61"/>
      <c r="EH17" s="61"/>
      <c r="EI17" s="61"/>
      <c r="EJ17" s="61"/>
      <c r="EK17" s="61"/>
      <c r="EL17" s="61"/>
      <c r="EM17" s="61"/>
      <c r="EN17" s="61"/>
      <c r="EO17" s="61"/>
      <c r="EP17" s="61"/>
      <c r="EQ17" s="61"/>
      <c r="ER17" s="61"/>
      <c r="ES17" s="61"/>
      <c r="ET17" s="61"/>
      <c r="EU17" s="61"/>
      <c r="EV17" s="61"/>
      <c r="EW17" s="61"/>
      <c r="EX17" s="61"/>
      <c r="EY17" s="61"/>
      <c r="EZ17" s="61"/>
      <c r="FA17" s="61"/>
      <c r="FB17" s="61"/>
      <c r="FC17" s="61"/>
      <c r="FD17" s="61"/>
      <c r="FE17" s="61"/>
      <c r="FF17" s="61"/>
      <c r="FG17" s="61"/>
      <c r="FH17" s="61"/>
      <c r="FI17" s="61"/>
      <c r="FJ17" s="61"/>
      <c r="FK17" s="61"/>
      <c r="FL17" s="61"/>
      <c r="FM17" s="61"/>
      <c r="FN17" s="61"/>
      <c r="FO17" s="61"/>
      <c r="FP17" s="61"/>
      <c r="FQ17" s="61"/>
      <c r="FR17" s="61"/>
      <c r="FS17" s="61"/>
      <c r="FT17" s="61"/>
      <c r="FU17" s="61"/>
      <c r="FV17" s="61"/>
      <c r="FW17" s="61"/>
      <c r="FX17" s="61"/>
      <c r="FY17" s="61"/>
      <c r="FZ17" s="61"/>
      <c r="GA17" s="61"/>
      <c r="GB17" s="61"/>
      <c r="GC17" s="61"/>
      <c r="GD17" s="61"/>
      <c r="GE17" s="61"/>
      <c r="GF17" s="61"/>
      <c r="GG17" s="61"/>
      <c r="GH17" s="61"/>
      <c r="GI17" s="61"/>
      <c r="GJ17" s="61"/>
      <c r="GK17" s="61"/>
      <c r="GL17" s="61"/>
      <c r="GM17" s="61"/>
      <c r="GN17" s="61"/>
      <c r="GO17" s="61"/>
      <c r="GP17" s="61"/>
      <c r="GQ17" s="61"/>
      <c r="GR17" s="61"/>
      <c r="GS17" s="61"/>
      <c r="GT17" s="61"/>
      <c r="GU17" s="61"/>
      <c r="GV17" s="61"/>
      <c r="GW17" s="61"/>
      <c r="GX17" s="61"/>
      <c r="GY17" s="61"/>
      <c r="GZ17" s="61"/>
      <c r="HA17" s="61"/>
      <c r="HB17" s="61"/>
      <c r="HC17" s="61"/>
      <c r="HD17" s="61"/>
      <c r="HE17" s="61"/>
      <c r="HF17" s="61"/>
      <c r="HG17" s="61"/>
      <c r="HH17" s="61"/>
      <c r="HI17" s="61"/>
      <c r="HJ17" s="61"/>
      <c r="HK17" s="61"/>
      <c r="HL17" s="61"/>
      <c r="HM17" s="61"/>
      <c r="HN17" s="61"/>
      <c r="HO17" s="61"/>
      <c r="HP17" s="61"/>
      <c r="HQ17" s="61"/>
      <c r="HR17" s="61"/>
      <c r="HS17" s="61"/>
      <c r="HT17" s="61"/>
      <c r="HU17" s="61"/>
      <c r="HV17" s="61"/>
      <c r="HW17" s="61"/>
      <c r="HX17" s="61"/>
      <c r="HY17" s="61"/>
      <c r="HZ17" s="61"/>
      <c r="IA17" s="61"/>
      <c r="IB17" s="61"/>
      <c r="IC17" s="61"/>
      <c r="ID17" s="61"/>
      <c r="IE17" s="61"/>
      <c r="IF17" s="61"/>
      <c r="IG17" s="61"/>
      <c r="IH17" s="61"/>
      <c r="II17" s="61"/>
      <c r="IJ17" s="61"/>
      <c r="IK17" s="61"/>
      <c r="IL17" s="61"/>
      <c r="IM17" s="61"/>
      <c r="IN17" s="61"/>
      <c r="IO17" s="61"/>
      <c r="IP17" s="61"/>
      <c r="IQ17" s="61"/>
      <c r="IR17" s="61"/>
      <c r="IS17" s="61"/>
      <c r="IT17" s="61"/>
      <c r="IU17" s="61"/>
      <c r="IV17" s="61"/>
      <c r="IW17" s="61"/>
      <c r="IX17" s="61"/>
      <c r="IY17" s="61"/>
      <c r="IZ17" s="61"/>
    </row>
    <row r="18" spans="1:260" s="62" customFormat="1" ht="15" customHeight="1" x14ac:dyDescent="0.2">
      <c r="A18" s="78"/>
      <c r="B18" s="78"/>
      <c r="C18" s="78"/>
      <c r="D18" s="78"/>
      <c r="E18" s="83"/>
      <c r="F18" s="83"/>
      <c r="G18" s="83"/>
      <c r="H18" s="83"/>
      <c r="I18" s="83"/>
      <c r="J18" s="84"/>
      <c r="K18" s="85"/>
      <c r="L18" s="96"/>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c r="DC18" s="61"/>
      <c r="DD18" s="61"/>
      <c r="DE18" s="61"/>
      <c r="DF18" s="61"/>
      <c r="DG18" s="61"/>
      <c r="DH18" s="61"/>
      <c r="DI18" s="61"/>
      <c r="DJ18" s="61"/>
      <c r="DK18" s="61"/>
      <c r="DL18" s="61"/>
      <c r="DM18" s="61"/>
      <c r="DN18" s="61"/>
      <c r="DO18" s="61"/>
      <c r="DP18" s="61"/>
      <c r="DQ18" s="61"/>
      <c r="DR18" s="61"/>
      <c r="DS18" s="61"/>
      <c r="DT18" s="61"/>
      <c r="DU18" s="61"/>
      <c r="DV18" s="61"/>
      <c r="DW18" s="61"/>
      <c r="DX18" s="61"/>
      <c r="DY18" s="61"/>
      <c r="DZ18" s="61"/>
      <c r="EA18" s="61"/>
      <c r="EB18" s="61"/>
      <c r="EC18" s="61"/>
      <c r="ED18" s="61"/>
      <c r="EE18" s="61"/>
      <c r="EF18" s="61"/>
      <c r="EG18" s="61"/>
      <c r="EH18" s="61"/>
      <c r="EI18" s="61"/>
      <c r="EJ18" s="61"/>
      <c r="EK18" s="61"/>
      <c r="EL18" s="61"/>
      <c r="EM18" s="61"/>
      <c r="EN18" s="61"/>
      <c r="EO18" s="61"/>
      <c r="EP18" s="61"/>
      <c r="EQ18" s="61"/>
      <c r="ER18" s="61"/>
      <c r="ES18" s="61"/>
      <c r="ET18" s="61"/>
      <c r="EU18" s="61"/>
      <c r="EV18" s="61"/>
      <c r="EW18" s="61"/>
      <c r="EX18" s="61"/>
      <c r="EY18" s="61"/>
      <c r="EZ18" s="61"/>
      <c r="FA18" s="61"/>
      <c r="FB18" s="61"/>
      <c r="FC18" s="61"/>
      <c r="FD18" s="61"/>
      <c r="FE18" s="61"/>
      <c r="FF18" s="61"/>
      <c r="FG18" s="61"/>
      <c r="FH18" s="61"/>
      <c r="FI18" s="61"/>
      <c r="FJ18" s="61"/>
      <c r="FK18" s="61"/>
      <c r="FL18" s="61"/>
      <c r="FM18" s="61"/>
      <c r="FN18" s="61"/>
      <c r="FO18" s="61"/>
      <c r="FP18" s="61"/>
      <c r="FQ18" s="61"/>
      <c r="FR18" s="61"/>
      <c r="FS18" s="61"/>
      <c r="FT18" s="61"/>
      <c r="FU18" s="61"/>
      <c r="FV18" s="61"/>
      <c r="FW18" s="61"/>
      <c r="FX18" s="61"/>
      <c r="FY18" s="61"/>
      <c r="FZ18" s="61"/>
      <c r="GA18" s="61"/>
      <c r="GB18" s="61"/>
      <c r="GC18" s="61"/>
      <c r="GD18" s="61"/>
      <c r="GE18" s="61"/>
      <c r="GF18" s="61"/>
      <c r="GG18" s="61"/>
      <c r="GH18" s="61"/>
      <c r="GI18" s="61"/>
      <c r="GJ18" s="61"/>
      <c r="GK18" s="61"/>
      <c r="GL18" s="61"/>
      <c r="GM18" s="61"/>
      <c r="GN18" s="61"/>
      <c r="GO18" s="61"/>
      <c r="GP18" s="61"/>
      <c r="GQ18" s="61"/>
      <c r="GR18" s="61"/>
      <c r="GS18" s="61"/>
      <c r="GT18" s="61"/>
      <c r="GU18" s="61"/>
      <c r="GV18" s="61"/>
      <c r="GW18" s="61"/>
      <c r="GX18" s="61"/>
      <c r="GY18" s="61"/>
      <c r="GZ18" s="61"/>
      <c r="HA18" s="61"/>
      <c r="HB18" s="61"/>
      <c r="HC18" s="61"/>
      <c r="HD18" s="61"/>
      <c r="HE18" s="61"/>
      <c r="HF18" s="61"/>
      <c r="HG18" s="61"/>
      <c r="HH18" s="61"/>
      <c r="HI18" s="61"/>
      <c r="HJ18" s="61"/>
      <c r="HK18" s="61"/>
      <c r="HL18" s="61"/>
      <c r="HM18" s="61"/>
      <c r="HN18" s="61"/>
      <c r="HO18" s="61"/>
      <c r="HP18" s="61"/>
      <c r="HQ18" s="61"/>
      <c r="HR18" s="61"/>
      <c r="HS18" s="61"/>
      <c r="HT18" s="61"/>
      <c r="HU18" s="61"/>
      <c r="HV18" s="61"/>
      <c r="HW18" s="61"/>
      <c r="HX18" s="61"/>
      <c r="HY18" s="61"/>
      <c r="HZ18" s="61"/>
      <c r="IA18" s="61"/>
      <c r="IB18" s="61"/>
      <c r="IC18" s="61"/>
      <c r="ID18" s="61"/>
      <c r="IE18" s="61"/>
      <c r="IF18" s="61"/>
      <c r="IG18" s="61"/>
      <c r="IH18" s="61"/>
      <c r="II18" s="61"/>
      <c r="IJ18" s="61"/>
      <c r="IK18" s="61"/>
      <c r="IL18" s="61"/>
      <c r="IM18" s="61"/>
      <c r="IN18" s="61"/>
      <c r="IO18" s="61"/>
      <c r="IP18" s="61"/>
      <c r="IQ18" s="61"/>
      <c r="IR18" s="61"/>
      <c r="IS18" s="61"/>
      <c r="IT18" s="61"/>
      <c r="IU18" s="61"/>
      <c r="IV18" s="61"/>
      <c r="IW18" s="61"/>
      <c r="IX18" s="61"/>
      <c r="IY18" s="61"/>
      <c r="IZ18" s="61"/>
    </row>
    <row r="19" spans="1:260" s="62" customFormat="1" ht="15" customHeight="1" x14ac:dyDescent="0.2">
      <c r="A19" s="78"/>
      <c r="B19" s="78"/>
      <c r="C19" s="78"/>
      <c r="D19" s="78"/>
      <c r="E19" s="83"/>
      <c r="F19" s="83"/>
      <c r="G19" s="83"/>
      <c r="H19" s="83"/>
      <c r="I19" s="83"/>
      <c r="J19" s="84"/>
      <c r="K19" s="85"/>
      <c r="L19" s="96"/>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c r="DG19" s="61"/>
      <c r="DH19" s="61"/>
      <c r="DI19" s="61"/>
      <c r="DJ19" s="61"/>
      <c r="DK19" s="61"/>
      <c r="DL19" s="61"/>
      <c r="DM19" s="61"/>
      <c r="DN19" s="61"/>
      <c r="DO19" s="61"/>
      <c r="DP19" s="61"/>
      <c r="DQ19" s="61"/>
      <c r="DR19" s="61"/>
      <c r="DS19" s="61"/>
      <c r="DT19" s="61"/>
      <c r="DU19" s="61"/>
      <c r="DV19" s="61"/>
      <c r="DW19" s="61"/>
      <c r="DX19" s="61"/>
      <c r="DY19" s="61"/>
      <c r="DZ19" s="61"/>
      <c r="EA19" s="61"/>
      <c r="EB19" s="61"/>
      <c r="EC19" s="61"/>
      <c r="ED19" s="61"/>
      <c r="EE19" s="61"/>
      <c r="EF19" s="61"/>
      <c r="EG19" s="61"/>
      <c r="EH19" s="61"/>
      <c r="EI19" s="61"/>
      <c r="EJ19" s="61"/>
      <c r="EK19" s="61"/>
      <c r="EL19" s="61"/>
      <c r="EM19" s="61"/>
      <c r="EN19" s="61"/>
      <c r="EO19" s="61"/>
      <c r="EP19" s="61"/>
      <c r="EQ19" s="61"/>
      <c r="ER19" s="61"/>
      <c r="ES19" s="61"/>
      <c r="ET19" s="61"/>
      <c r="EU19" s="61"/>
      <c r="EV19" s="61"/>
      <c r="EW19" s="61"/>
      <c r="EX19" s="61"/>
      <c r="EY19" s="61"/>
      <c r="EZ19" s="61"/>
      <c r="FA19" s="61"/>
      <c r="FB19" s="61"/>
      <c r="FC19" s="61"/>
      <c r="FD19" s="61"/>
      <c r="FE19" s="61"/>
      <c r="FF19" s="61"/>
      <c r="FG19" s="61"/>
      <c r="FH19" s="61"/>
      <c r="FI19" s="61"/>
      <c r="FJ19" s="61"/>
      <c r="FK19" s="61"/>
      <c r="FL19" s="61"/>
      <c r="FM19" s="61"/>
      <c r="FN19" s="61"/>
      <c r="FO19" s="61"/>
      <c r="FP19" s="61"/>
      <c r="FQ19" s="61"/>
      <c r="FR19" s="61"/>
      <c r="FS19" s="61"/>
      <c r="FT19" s="61"/>
      <c r="FU19" s="61"/>
      <c r="FV19" s="61"/>
      <c r="FW19" s="61"/>
      <c r="FX19" s="61"/>
      <c r="FY19" s="61"/>
      <c r="FZ19" s="61"/>
      <c r="GA19" s="61"/>
      <c r="GB19" s="61"/>
      <c r="GC19" s="61"/>
      <c r="GD19" s="61"/>
      <c r="GE19" s="61"/>
      <c r="GF19" s="61"/>
      <c r="GG19" s="61"/>
      <c r="GH19" s="61"/>
      <c r="GI19" s="61"/>
      <c r="GJ19" s="61"/>
      <c r="GK19" s="61"/>
      <c r="GL19" s="61"/>
      <c r="GM19" s="61"/>
      <c r="GN19" s="61"/>
      <c r="GO19" s="61"/>
      <c r="GP19" s="61"/>
      <c r="GQ19" s="61"/>
      <c r="GR19" s="61"/>
      <c r="GS19" s="61"/>
      <c r="GT19" s="61"/>
      <c r="GU19" s="61"/>
      <c r="GV19" s="61"/>
      <c r="GW19" s="61"/>
      <c r="GX19" s="61"/>
      <c r="GY19" s="61"/>
      <c r="GZ19" s="61"/>
      <c r="HA19" s="61"/>
      <c r="HB19" s="61"/>
      <c r="HC19" s="61"/>
      <c r="HD19" s="61"/>
      <c r="HE19" s="61"/>
      <c r="HF19" s="61"/>
      <c r="HG19" s="61"/>
      <c r="HH19" s="61"/>
      <c r="HI19" s="61"/>
      <c r="HJ19" s="61"/>
      <c r="HK19" s="61"/>
      <c r="HL19" s="61"/>
      <c r="HM19" s="61"/>
      <c r="HN19" s="61"/>
      <c r="HO19" s="61"/>
      <c r="HP19" s="61"/>
      <c r="HQ19" s="61"/>
      <c r="HR19" s="61"/>
      <c r="HS19" s="61"/>
      <c r="HT19" s="61"/>
      <c r="HU19" s="61"/>
      <c r="HV19" s="61"/>
      <c r="HW19" s="61"/>
      <c r="HX19" s="61"/>
      <c r="HY19" s="61"/>
      <c r="HZ19" s="61"/>
      <c r="IA19" s="61"/>
      <c r="IB19" s="61"/>
      <c r="IC19" s="61"/>
      <c r="ID19" s="61"/>
      <c r="IE19" s="61"/>
      <c r="IF19" s="61"/>
      <c r="IG19" s="61"/>
      <c r="IH19" s="61"/>
      <c r="II19" s="61"/>
      <c r="IJ19" s="61"/>
      <c r="IK19" s="61"/>
      <c r="IL19" s="61"/>
      <c r="IM19" s="61"/>
      <c r="IN19" s="61"/>
      <c r="IO19" s="61"/>
      <c r="IP19" s="61"/>
      <c r="IQ19" s="61"/>
      <c r="IR19" s="61"/>
      <c r="IS19" s="61"/>
      <c r="IT19" s="61"/>
      <c r="IU19" s="61"/>
      <c r="IV19" s="61"/>
      <c r="IW19" s="61"/>
      <c r="IX19" s="61"/>
      <c r="IY19" s="61"/>
      <c r="IZ19" s="61"/>
    </row>
    <row r="20" spans="1:260" s="62" customFormat="1" ht="15" customHeight="1" x14ac:dyDescent="0.2">
      <c r="A20" s="78"/>
      <c r="B20" s="78"/>
      <c r="C20" s="78"/>
      <c r="D20" s="78"/>
      <c r="E20" s="83"/>
      <c r="F20" s="83"/>
      <c r="G20" s="83"/>
      <c r="H20" s="83"/>
      <c r="I20" s="83"/>
      <c r="J20" s="84"/>
      <c r="K20" s="85"/>
      <c r="L20" s="96"/>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c r="DA20" s="61"/>
      <c r="DB20" s="61"/>
      <c r="DC20" s="61"/>
      <c r="DD20" s="61"/>
      <c r="DE20" s="61"/>
      <c r="DF20" s="61"/>
      <c r="DG20" s="61"/>
      <c r="DH20" s="61"/>
      <c r="DI20" s="61"/>
      <c r="DJ20" s="61"/>
      <c r="DK20" s="61"/>
      <c r="DL20" s="61"/>
      <c r="DM20" s="61"/>
      <c r="DN20" s="61"/>
      <c r="DO20" s="61"/>
      <c r="DP20" s="61"/>
      <c r="DQ20" s="61"/>
      <c r="DR20" s="61"/>
      <c r="DS20" s="61"/>
      <c r="DT20" s="61"/>
      <c r="DU20" s="61"/>
      <c r="DV20" s="61"/>
      <c r="DW20" s="61"/>
      <c r="DX20" s="61"/>
      <c r="DY20" s="61"/>
      <c r="DZ20" s="61"/>
      <c r="EA20" s="61"/>
      <c r="EB20" s="61"/>
      <c r="EC20" s="61"/>
      <c r="ED20" s="61"/>
      <c r="EE20" s="61"/>
      <c r="EF20" s="61"/>
      <c r="EG20" s="61"/>
      <c r="EH20" s="61"/>
      <c r="EI20" s="61"/>
      <c r="EJ20" s="61"/>
      <c r="EK20" s="61"/>
      <c r="EL20" s="61"/>
      <c r="EM20" s="61"/>
      <c r="EN20" s="61"/>
      <c r="EO20" s="61"/>
      <c r="EP20" s="61"/>
      <c r="EQ20" s="61"/>
      <c r="ER20" s="61"/>
      <c r="ES20" s="61"/>
      <c r="ET20" s="61"/>
      <c r="EU20" s="61"/>
      <c r="EV20" s="61"/>
      <c r="EW20" s="61"/>
      <c r="EX20" s="61"/>
      <c r="EY20" s="61"/>
      <c r="EZ20" s="61"/>
      <c r="FA20" s="61"/>
      <c r="FB20" s="61"/>
      <c r="FC20" s="61"/>
      <c r="FD20" s="61"/>
      <c r="FE20" s="61"/>
      <c r="FF20" s="61"/>
      <c r="FG20" s="61"/>
      <c r="FH20" s="61"/>
      <c r="FI20" s="61"/>
      <c r="FJ20" s="61"/>
      <c r="FK20" s="61"/>
      <c r="FL20" s="61"/>
      <c r="FM20" s="61"/>
      <c r="FN20" s="61"/>
      <c r="FO20" s="61"/>
      <c r="FP20" s="61"/>
      <c r="FQ20" s="61"/>
      <c r="FR20" s="61"/>
      <c r="FS20" s="61"/>
      <c r="FT20" s="61"/>
      <c r="FU20" s="61"/>
      <c r="FV20" s="61"/>
      <c r="FW20" s="61"/>
      <c r="FX20" s="61"/>
      <c r="FY20" s="61"/>
      <c r="FZ20" s="61"/>
      <c r="GA20" s="61"/>
      <c r="GB20" s="61"/>
      <c r="GC20" s="61"/>
      <c r="GD20" s="61"/>
      <c r="GE20" s="61"/>
      <c r="GF20" s="61"/>
      <c r="GG20" s="61"/>
      <c r="GH20" s="61"/>
      <c r="GI20" s="61"/>
      <c r="GJ20" s="61"/>
      <c r="GK20" s="61"/>
      <c r="GL20" s="61"/>
      <c r="GM20" s="61"/>
      <c r="GN20" s="61"/>
      <c r="GO20" s="61"/>
      <c r="GP20" s="61"/>
      <c r="GQ20" s="61"/>
      <c r="GR20" s="61"/>
      <c r="GS20" s="61"/>
      <c r="GT20" s="61"/>
      <c r="GU20" s="61"/>
      <c r="GV20" s="61"/>
      <c r="GW20" s="61"/>
      <c r="GX20" s="61"/>
      <c r="GY20" s="61"/>
      <c r="GZ20" s="61"/>
      <c r="HA20" s="61"/>
      <c r="HB20" s="61"/>
      <c r="HC20" s="61"/>
      <c r="HD20" s="61"/>
      <c r="HE20" s="61"/>
      <c r="HF20" s="61"/>
      <c r="HG20" s="61"/>
      <c r="HH20" s="61"/>
      <c r="HI20" s="61"/>
      <c r="HJ20" s="61"/>
      <c r="HK20" s="61"/>
      <c r="HL20" s="61"/>
      <c r="HM20" s="61"/>
      <c r="HN20" s="61"/>
      <c r="HO20" s="61"/>
      <c r="HP20" s="61"/>
      <c r="HQ20" s="61"/>
      <c r="HR20" s="61"/>
      <c r="HS20" s="61"/>
      <c r="HT20" s="61"/>
      <c r="HU20" s="61"/>
      <c r="HV20" s="61"/>
      <c r="HW20" s="61"/>
      <c r="HX20" s="61"/>
      <c r="HY20" s="61"/>
      <c r="HZ20" s="61"/>
      <c r="IA20" s="61"/>
      <c r="IB20" s="61"/>
      <c r="IC20" s="61"/>
      <c r="ID20" s="61"/>
      <c r="IE20" s="61"/>
      <c r="IF20" s="61"/>
      <c r="IG20" s="61"/>
      <c r="IH20" s="61"/>
      <c r="II20" s="61"/>
      <c r="IJ20" s="61"/>
      <c r="IK20" s="61"/>
      <c r="IL20" s="61"/>
      <c r="IM20" s="61"/>
      <c r="IN20" s="61"/>
      <c r="IO20" s="61"/>
      <c r="IP20" s="61"/>
      <c r="IQ20" s="61"/>
      <c r="IR20" s="61"/>
      <c r="IS20" s="61"/>
      <c r="IT20" s="61"/>
      <c r="IU20" s="61"/>
      <c r="IV20" s="61"/>
      <c r="IW20" s="61"/>
      <c r="IX20" s="61"/>
      <c r="IY20" s="61"/>
      <c r="IZ20" s="61"/>
    </row>
    <row r="21" spans="1:260" s="62" customFormat="1" ht="15" customHeight="1" x14ac:dyDescent="0.2">
      <c r="A21" s="78"/>
      <c r="B21" s="78"/>
      <c r="C21" s="78"/>
      <c r="D21" s="78"/>
      <c r="E21" s="83"/>
      <c r="F21" s="83"/>
      <c r="G21" s="83"/>
      <c r="H21" s="83"/>
      <c r="I21" s="83"/>
      <c r="J21" s="84"/>
      <c r="K21" s="85"/>
      <c r="L21" s="96"/>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A21" s="61"/>
      <c r="CB21" s="61"/>
      <c r="CC21" s="61"/>
      <c r="CD21" s="61"/>
      <c r="CE21" s="61"/>
      <c r="CF21" s="61"/>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61"/>
      <c r="DE21" s="61"/>
      <c r="DF21" s="61"/>
      <c r="DG21" s="61"/>
      <c r="DH21" s="61"/>
      <c r="DI21" s="61"/>
      <c r="DJ21" s="61"/>
      <c r="DK21" s="61"/>
      <c r="DL21" s="61"/>
      <c r="DM21" s="61"/>
      <c r="DN21" s="61"/>
      <c r="DO21" s="61"/>
      <c r="DP21" s="61"/>
      <c r="DQ21" s="61"/>
      <c r="DR21" s="61"/>
      <c r="DS21" s="61"/>
      <c r="DT21" s="61"/>
      <c r="DU21" s="61"/>
      <c r="DV21" s="61"/>
      <c r="DW21" s="61"/>
      <c r="DX21" s="61"/>
      <c r="DY21" s="61"/>
      <c r="DZ21" s="61"/>
      <c r="EA21" s="61"/>
      <c r="EB21" s="61"/>
      <c r="EC21" s="61"/>
      <c r="ED21" s="61"/>
      <c r="EE21" s="61"/>
      <c r="EF21" s="61"/>
      <c r="EG21" s="61"/>
      <c r="EH21" s="61"/>
      <c r="EI21" s="61"/>
      <c r="EJ21" s="61"/>
      <c r="EK21" s="61"/>
      <c r="EL21" s="61"/>
      <c r="EM21" s="61"/>
      <c r="EN21" s="61"/>
      <c r="EO21" s="61"/>
      <c r="EP21" s="61"/>
      <c r="EQ21" s="61"/>
      <c r="ER21" s="61"/>
      <c r="ES21" s="61"/>
      <c r="ET21" s="61"/>
      <c r="EU21" s="61"/>
      <c r="EV21" s="61"/>
      <c r="EW21" s="61"/>
      <c r="EX21" s="61"/>
      <c r="EY21" s="61"/>
      <c r="EZ21" s="61"/>
      <c r="FA21" s="61"/>
      <c r="FB21" s="61"/>
      <c r="FC21" s="61"/>
      <c r="FD21" s="61"/>
      <c r="FE21" s="61"/>
      <c r="FF21" s="61"/>
      <c r="FG21" s="61"/>
      <c r="FH21" s="61"/>
      <c r="FI21" s="61"/>
      <c r="FJ21" s="61"/>
      <c r="FK21" s="61"/>
      <c r="FL21" s="61"/>
      <c r="FM21" s="61"/>
      <c r="FN21" s="61"/>
      <c r="FO21" s="61"/>
      <c r="FP21" s="61"/>
      <c r="FQ21" s="61"/>
      <c r="FR21" s="61"/>
      <c r="FS21" s="61"/>
      <c r="FT21" s="61"/>
      <c r="FU21" s="61"/>
      <c r="FV21" s="61"/>
      <c r="FW21" s="61"/>
      <c r="FX21" s="61"/>
      <c r="FY21" s="61"/>
      <c r="FZ21" s="61"/>
      <c r="GA21" s="61"/>
      <c r="GB21" s="61"/>
      <c r="GC21" s="61"/>
      <c r="GD21" s="61"/>
      <c r="GE21" s="61"/>
      <c r="GF21" s="61"/>
      <c r="GG21" s="61"/>
      <c r="GH21" s="61"/>
      <c r="GI21" s="61"/>
      <c r="GJ21" s="61"/>
      <c r="GK21" s="61"/>
      <c r="GL21" s="61"/>
      <c r="GM21" s="61"/>
      <c r="GN21" s="61"/>
      <c r="GO21" s="61"/>
      <c r="GP21" s="61"/>
      <c r="GQ21" s="61"/>
      <c r="GR21" s="61"/>
      <c r="GS21" s="61"/>
      <c r="GT21" s="61"/>
      <c r="GU21" s="61"/>
      <c r="GV21" s="61"/>
      <c r="GW21" s="61"/>
      <c r="GX21" s="61"/>
      <c r="GY21" s="61"/>
      <c r="GZ21" s="61"/>
      <c r="HA21" s="61"/>
      <c r="HB21" s="61"/>
      <c r="HC21" s="61"/>
      <c r="HD21" s="61"/>
      <c r="HE21" s="61"/>
      <c r="HF21" s="61"/>
      <c r="HG21" s="61"/>
      <c r="HH21" s="61"/>
      <c r="HI21" s="61"/>
      <c r="HJ21" s="61"/>
      <c r="HK21" s="61"/>
      <c r="HL21" s="61"/>
      <c r="HM21" s="61"/>
      <c r="HN21" s="61"/>
      <c r="HO21" s="61"/>
      <c r="HP21" s="61"/>
      <c r="HQ21" s="61"/>
      <c r="HR21" s="61"/>
      <c r="HS21" s="61"/>
      <c r="HT21" s="61"/>
      <c r="HU21" s="61"/>
      <c r="HV21" s="61"/>
      <c r="HW21" s="61"/>
      <c r="HX21" s="61"/>
      <c r="HY21" s="61"/>
      <c r="HZ21" s="61"/>
      <c r="IA21" s="61"/>
      <c r="IB21" s="61"/>
      <c r="IC21" s="61"/>
      <c r="ID21" s="61"/>
      <c r="IE21" s="61"/>
      <c r="IF21" s="61"/>
      <c r="IG21" s="61"/>
      <c r="IH21" s="61"/>
      <c r="II21" s="61"/>
      <c r="IJ21" s="61"/>
      <c r="IK21" s="61"/>
      <c r="IL21" s="61"/>
      <c r="IM21" s="61"/>
      <c r="IN21" s="61"/>
      <c r="IO21" s="61"/>
      <c r="IP21" s="61"/>
      <c r="IQ21" s="61"/>
      <c r="IR21" s="61"/>
      <c r="IS21" s="61"/>
      <c r="IT21" s="61"/>
      <c r="IU21" s="61"/>
      <c r="IV21" s="61"/>
      <c r="IW21" s="61"/>
      <c r="IX21" s="61"/>
      <c r="IY21" s="61"/>
      <c r="IZ21" s="61"/>
    </row>
    <row r="22" spans="1:260" s="62" customFormat="1" ht="15" customHeight="1" x14ac:dyDescent="0.2">
      <c r="A22" s="78"/>
      <c r="B22" s="78"/>
      <c r="C22" s="78"/>
      <c r="D22" s="78"/>
      <c r="E22" s="83"/>
      <c r="F22" s="83"/>
      <c r="G22" s="83"/>
      <c r="H22" s="83"/>
      <c r="I22" s="83"/>
      <c r="J22" s="84"/>
      <c r="K22" s="85"/>
      <c r="L22" s="96"/>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M22" s="61"/>
      <c r="CN22" s="61"/>
      <c r="CO22" s="61"/>
      <c r="CP22" s="61"/>
      <c r="CQ22" s="61"/>
      <c r="CR22" s="61"/>
      <c r="CS22" s="61"/>
      <c r="CT22" s="61"/>
      <c r="CU22" s="61"/>
      <c r="CV22" s="61"/>
      <c r="CW22" s="61"/>
      <c r="CX22" s="61"/>
      <c r="CY22" s="61"/>
      <c r="CZ22" s="61"/>
      <c r="DA22" s="61"/>
      <c r="DB22" s="61"/>
      <c r="DC22" s="61"/>
      <c r="DD22" s="61"/>
      <c r="DE22" s="61"/>
      <c r="DF22" s="61"/>
      <c r="DG22" s="61"/>
      <c r="DH22" s="61"/>
      <c r="DI22" s="61"/>
      <c r="DJ22" s="61"/>
      <c r="DK22" s="61"/>
      <c r="DL22" s="61"/>
      <c r="DM22" s="61"/>
      <c r="DN22" s="61"/>
      <c r="DO22" s="61"/>
      <c r="DP22" s="61"/>
      <c r="DQ22" s="61"/>
      <c r="DR22" s="61"/>
      <c r="DS22" s="61"/>
      <c r="DT22" s="61"/>
      <c r="DU22" s="61"/>
      <c r="DV22" s="61"/>
      <c r="DW22" s="61"/>
      <c r="DX22" s="61"/>
      <c r="DY22" s="61"/>
      <c r="DZ22" s="61"/>
      <c r="EA22" s="61"/>
      <c r="EB22" s="61"/>
      <c r="EC22" s="61"/>
      <c r="ED22" s="61"/>
      <c r="EE22" s="61"/>
      <c r="EF22" s="61"/>
      <c r="EG22" s="61"/>
      <c r="EH22" s="61"/>
      <c r="EI22" s="61"/>
      <c r="EJ22" s="61"/>
      <c r="EK22" s="61"/>
      <c r="EL22" s="61"/>
      <c r="EM22" s="61"/>
      <c r="EN22" s="61"/>
      <c r="EO22" s="61"/>
      <c r="EP22" s="61"/>
      <c r="EQ22" s="61"/>
      <c r="ER22" s="61"/>
      <c r="ES22" s="61"/>
      <c r="ET22" s="61"/>
      <c r="EU22" s="61"/>
      <c r="EV22" s="61"/>
      <c r="EW22" s="61"/>
      <c r="EX22" s="61"/>
      <c r="EY22" s="61"/>
      <c r="EZ22" s="61"/>
      <c r="FA22" s="61"/>
      <c r="FB22" s="61"/>
      <c r="FC22" s="61"/>
      <c r="FD22" s="61"/>
      <c r="FE22" s="61"/>
      <c r="FF22" s="61"/>
      <c r="FG22" s="61"/>
      <c r="FH22" s="61"/>
      <c r="FI22" s="61"/>
      <c r="FJ22" s="61"/>
      <c r="FK22" s="61"/>
      <c r="FL22" s="61"/>
      <c r="FM22" s="61"/>
      <c r="FN22" s="61"/>
      <c r="FO22" s="61"/>
      <c r="FP22" s="61"/>
      <c r="FQ22" s="61"/>
      <c r="FR22" s="61"/>
      <c r="FS22" s="61"/>
      <c r="FT22" s="61"/>
      <c r="FU22" s="61"/>
      <c r="FV22" s="61"/>
      <c r="FW22" s="61"/>
      <c r="FX22" s="61"/>
      <c r="FY22" s="61"/>
      <c r="FZ22" s="61"/>
      <c r="GA22" s="61"/>
      <c r="GB22" s="61"/>
      <c r="GC22" s="61"/>
      <c r="GD22" s="61"/>
      <c r="GE22" s="61"/>
      <c r="GF22" s="61"/>
      <c r="GG22" s="61"/>
      <c r="GH22" s="61"/>
      <c r="GI22" s="61"/>
      <c r="GJ22" s="61"/>
      <c r="GK22" s="61"/>
      <c r="GL22" s="61"/>
      <c r="GM22" s="61"/>
      <c r="GN22" s="61"/>
      <c r="GO22" s="61"/>
      <c r="GP22" s="61"/>
      <c r="GQ22" s="61"/>
      <c r="GR22" s="61"/>
      <c r="GS22" s="61"/>
      <c r="GT22" s="61"/>
      <c r="GU22" s="61"/>
      <c r="GV22" s="61"/>
      <c r="GW22" s="61"/>
      <c r="GX22" s="61"/>
      <c r="GY22" s="61"/>
      <c r="GZ22" s="61"/>
      <c r="HA22" s="61"/>
      <c r="HB22" s="61"/>
      <c r="HC22" s="61"/>
      <c r="HD22" s="61"/>
      <c r="HE22" s="61"/>
      <c r="HF22" s="61"/>
      <c r="HG22" s="61"/>
      <c r="HH22" s="61"/>
      <c r="HI22" s="61"/>
      <c r="HJ22" s="61"/>
      <c r="HK22" s="61"/>
      <c r="HL22" s="61"/>
      <c r="HM22" s="61"/>
      <c r="HN22" s="61"/>
      <c r="HO22" s="61"/>
      <c r="HP22" s="61"/>
      <c r="HQ22" s="61"/>
      <c r="HR22" s="61"/>
      <c r="HS22" s="61"/>
      <c r="HT22" s="61"/>
      <c r="HU22" s="61"/>
      <c r="HV22" s="61"/>
      <c r="HW22" s="61"/>
      <c r="HX22" s="61"/>
      <c r="HY22" s="61"/>
      <c r="HZ22" s="61"/>
      <c r="IA22" s="61"/>
      <c r="IB22" s="61"/>
      <c r="IC22" s="61"/>
      <c r="ID22" s="61"/>
      <c r="IE22" s="61"/>
      <c r="IF22" s="61"/>
      <c r="IG22" s="61"/>
      <c r="IH22" s="61"/>
      <c r="II22" s="61"/>
      <c r="IJ22" s="61"/>
      <c r="IK22" s="61"/>
      <c r="IL22" s="61"/>
      <c r="IM22" s="61"/>
      <c r="IN22" s="61"/>
      <c r="IO22" s="61"/>
      <c r="IP22" s="61"/>
      <c r="IQ22" s="61"/>
      <c r="IR22" s="61"/>
      <c r="IS22" s="61"/>
      <c r="IT22" s="61"/>
      <c r="IU22" s="61"/>
      <c r="IV22" s="61"/>
      <c r="IW22" s="61"/>
      <c r="IX22" s="61"/>
      <c r="IY22" s="61"/>
      <c r="IZ22" s="61"/>
    </row>
    <row r="23" spans="1:260" s="62" customFormat="1" ht="15" customHeight="1" x14ac:dyDescent="0.2">
      <c r="A23" s="78"/>
      <c r="B23" s="78"/>
      <c r="C23" s="78"/>
      <c r="D23" s="78"/>
      <c r="E23" s="83"/>
      <c r="F23" s="83"/>
      <c r="G23" s="83"/>
      <c r="H23" s="83"/>
      <c r="I23" s="83"/>
      <c r="J23" s="84"/>
      <c r="K23" s="85"/>
      <c r="L23" s="96"/>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M23" s="61"/>
      <c r="CN23" s="61"/>
      <c r="CO23" s="61"/>
      <c r="CP23" s="61"/>
      <c r="CQ23" s="61"/>
      <c r="CR23" s="61"/>
      <c r="CS23" s="61"/>
      <c r="CT23" s="61"/>
      <c r="CU23" s="61"/>
      <c r="CV23" s="61"/>
      <c r="CW23" s="61"/>
      <c r="CX23" s="61"/>
      <c r="CY23" s="61"/>
      <c r="CZ23" s="61"/>
      <c r="DA23" s="61"/>
      <c r="DB23" s="61"/>
      <c r="DC23" s="61"/>
      <c r="DD23" s="61"/>
      <c r="DE23" s="61"/>
      <c r="DF23" s="61"/>
      <c r="DG23" s="61"/>
      <c r="DH23" s="61"/>
      <c r="DI23" s="61"/>
      <c r="DJ23" s="61"/>
      <c r="DK23" s="61"/>
      <c r="DL23" s="61"/>
      <c r="DM23" s="61"/>
      <c r="DN23" s="61"/>
      <c r="DO23" s="61"/>
      <c r="DP23" s="61"/>
      <c r="DQ23" s="61"/>
      <c r="DR23" s="61"/>
      <c r="DS23" s="61"/>
      <c r="DT23" s="61"/>
      <c r="DU23" s="61"/>
      <c r="DV23" s="61"/>
      <c r="DW23" s="61"/>
      <c r="DX23" s="61"/>
      <c r="DY23" s="61"/>
      <c r="DZ23" s="61"/>
      <c r="EA23" s="61"/>
      <c r="EB23" s="61"/>
      <c r="EC23" s="61"/>
      <c r="ED23" s="61"/>
      <c r="EE23" s="61"/>
      <c r="EF23" s="61"/>
      <c r="EG23" s="61"/>
      <c r="EH23" s="61"/>
      <c r="EI23" s="61"/>
      <c r="EJ23" s="61"/>
      <c r="EK23" s="61"/>
      <c r="EL23" s="61"/>
      <c r="EM23" s="61"/>
      <c r="EN23" s="61"/>
      <c r="EO23" s="61"/>
      <c r="EP23" s="61"/>
      <c r="EQ23" s="61"/>
      <c r="ER23" s="61"/>
      <c r="ES23" s="61"/>
      <c r="ET23" s="61"/>
      <c r="EU23" s="61"/>
      <c r="EV23" s="61"/>
      <c r="EW23" s="61"/>
      <c r="EX23" s="61"/>
      <c r="EY23" s="61"/>
      <c r="EZ23" s="61"/>
      <c r="FA23" s="61"/>
      <c r="FB23" s="61"/>
      <c r="FC23" s="61"/>
      <c r="FD23" s="61"/>
      <c r="FE23" s="61"/>
      <c r="FF23" s="61"/>
      <c r="FG23" s="61"/>
      <c r="FH23" s="61"/>
      <c r="FI23" s="61"/>
      <c r="FJ23" s="61"/>
      <c r="FK23" s="61"/>
      <c r="FL23" s="61"/>
      <c r="FM23" s="61"/>
      <c r="FN23" s="61"/>
      <c r="FO23" s="61"/>
      <c r="FP23" s="61"/>
      <c r="FQ23" s="61"/>
      <c r="FR23" s="61"/>
      <c r="FS23" s="61"/>
      <c r="FT23" s="61"/>
      <c r="FU23" s="61"/>
      <c r="FV23" s="61"/>
      <c r="FW23" s="61"/>
      <c r="FX23" s="61"/>
      <c r="FY23" s="61"/>
      <c r="FZ23" s="61"/>
      <c r="GA23" s="61"/>
      <c r="GB23" s="61"/>
      <c r="GC23" s="61"/>
      <c r="GD23" s="61"/>
      <c r="GE23" s="61"/>
      <c r="GF23" s="61"/>
      <c r="GG23" s="61"/>
      <c r="GH23" s="61"/>
      <c r="GI23" s="61"/>
      <c r="GJ23" s="61"/>
      <c r="GK23" s="61"/>
      <c r="GL23" s="61"/>
      <c r="GM23" s="61"/>
      <c r="GN23" s="61"/>
      <c r="GO23" s="61"/>
      <c r="GP23" s="61"/>
      <c r="GQ23" s="61"/>
      <c r="GR23" s="61"/>
      <c r="GS23" s="61"/>
      <c r="GT23" s="61"/>
      <c r="GU23" s="61"/>
      <c r="GV23" s="61"/>
      <c r="GW23" s="61"/>
      <c r="GX23" s="61"/>
      <c r="GY23" s="61"/>
      <c r="GZ23" s="61"/>
      <c r="HA23" s="61"/>
      <c r="HB23" s="61"/>
      <c r="HC23" s="61"/>
      <c r="HD23" s="61"/>
      <c r="HE23" s="61"/>
      <c r="HF23" s="61"/>
      <c r="HG23" s="61"/>
      <c r="HH23" s="61"/>
      <c r="HI23" s="61"/>
      <c r="HJ23" s="61"/>
      <c r="HK23" s="61"/>
      <c r="HL23" s="61"/>
      <c r="HM23" s="61"/>
      <c r="HN23" s="61"/>
      <c r="HO23" s="61"/>
      <c r="HP23" s="61"/>
      <c r="HQ23" s="61"/>
      <c r="HR23" s="61"/>
      <c r="HS23" s="61"/>
      <c r="HT23" s="61"/>
      <c r="HU23" s="61"/>
      <c r="HV23" s="61"/>
      <c r="HW23" s="61"/>
      <c r="HX23" s="61"/>
      <c r="HY23" s="61"/>
      <c r="HZ23" s="61"/>
      <c r="IA23" s="61"/>
      <c r="IB23" s="61"/>
      <c r="IC23" s="61"/>
      <c r="ID23" s="61"/>
      <c r="IE23" s="61"/>
      <c r="IF23" s="61"/>
      <c r="IG23" s="61"/>
      <c r="IH23" s="61"/>
      <c r="II23" s="61"/>
      <c r="IJ23" s="61"/>
      <c r="IK23" s="61"/>
      <c r="IL23" s="61"/>
      <c r="IM23" s="61"/>
      <c r="IN23" s="61"/>
      <c r="IO23" s="61"/>
      <c r="IP23" s="61"/>
      <c r="IQ23" s="61"/>
      <c r="IR23" s="61"/>
      <c r="IS23" s="61"/>
      <c r="IT23" s="61"/>
      <c r="IU23" s="61"/>
      <c r="IV23" s="61"/>
      <c r="IW23" s="61"/>
      <c r="IX23" s="61"/>
      <c r="IY23" s="61"/>
      <c r="IZ23" s="61"/>
    </row>
    <row r="24" spans="1:260" s="62" customFormat="1" ht="15" customHeight="1" x14ac:dyDescent="0.2">
      <c r="A24" s="78"/>
      <c r="B24" s="78"/>
      <c r="C24" s="78"/>
      <c r="D24" s="78"/>
      <c r="E24" s="88"/>
      <c r="F24" s="88"/>
      <c r="G24" s="88"/>
      <c r="H24" s="88"/>
      <c r="I24" s="88"/>
      <c r="J24" s="89"/>
      <c r="K24" s="90"/>
      <c r="L24" s="97"/>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c r="DA24" s="61"/>
      <c r="DB24" s="61"/>
      <c r="DC24" s="61"/>
      <c r="DD24" s="61"/>
      <c r="DE24" s="61"/>
      <c r="DF24" s="61"/>
      <c r="DG24" s="61"/>
      <c r="DH24" s="61"/>
      <c r="DI24" s="61"/>
      <c r="DJ24" s="61"/>
      <c r="DK24" s="61"/>
      <c r="DL24" s="61"/>
      <c r="DM24" s="61"/>
      <c r="DN24" s="61"/>
      <c r="DO24" s="61"/>
      <c r="DP24" s="61"/>
      <c r="DQ24" s="61"/>
      <c r="DR24" s="61"/>
      <c r="DS24" s="61"/>
      <c r="DT24" s="61"/>
      <c r="DU24" s="61"/>
      <c r="DV24" s="61"/>
      <c r="DW24" s="61"/>
      <c r="DX24" s="61"/>
      <c r="DY24" s="61"/>
      <c r="DZ24" s="61"/>
      <c r="EA24" s="61"/>
      <c r="EB24" s="61"/>
      <c r="EC24" s="61"/>
      <c r="ED24" s="61"/>
      <c r="EE24" s="61"/>
      <c r="EF24" s="61"/>
      <c r="EG24" s="61"/>
      <c r="EH24" s="61"/>
      <c r="EI24" s="61"/>
      <c r="EJ24" s="61"/>
      <c r="EK24" s="61"/>
      <c r="EL24" s="61"/>
      <c r="EM24" s="61"/>
      <c r="EN24" s="61"/>
      <c r="EO24" s="61"/>
      <c r="EP24" s="61"/>
      <c r="EQ24" s="61"/>
      <c r="ER24" s="61"/>
      <c r="ES24" s="61"/>
      <c r="ET24" s="61"/>
      <c r="EU24" s="61"/>
      <c r="EV24" s="61"/>
      <c r="EW24" s="61"/>
      <c r="EX24" s="61"/>
      <c r="EY24" s="61"/>
      <c r="EZ24" s="61"/>
      <c r="FA24" s="61"/>
      <c r="FB24" s="61"/>
      <c r="FC24" s="61"/>
      <c r="FD24" s="61"/>
      <c r="FE24" s="61"/>
      <c r="FF24" s="61"/>
      <c r="FG24" s="61"/>
      <c r="FH24" s="61"/>
      <c r="FI24" s="61"/>
      <c r="FJ24" s="61"/>
      <c r="FK24" s="61"/>
      <c r="FL24" s="61"/>
      <c r="FM24" s="61"/>
      <c r="FN24" s="61"/>
      <c r="FO24" s="61"/>
      <c r="FP24" s="61"/>
      <c r="FQ24" s="61"/>
      <c r="FR24" s="61"/>
      <c r="FS24" s="61"/>
      <c r="FT24" s="61"/>
      <c r="FU24" s="61"/>
      <c r="FV24" s="61"/>
      <c r="FW24" s="61"/>
      <c r="FX24" s="61"/>
      <c r="FY24" s="61"/>
      <c r="FZ24" s="61"/>
      <c r="GA24" s="61"/>
      <c r="GB24" s="61"/>
      <c r="GC24" s="61"/>
      <c r="GD24" s="61"/>
      <c r="GE24" s="61"/>
      <c r="GF24" s="61"/>
      <c r="GG24" s="61"/>
      <c r="GH24" s="61"/>
      <c r="GI24" s="61"/>
      <c r="GJ24" s="61"/>
      <c r="GK24" s="61"/>
      <c r="GL24" s="61"/>
      <c r="GM24" s="61"/>
      <c r="GN24" s="61"/>
      <c r="GO24" s="61"/>
      <c r="GP24" s="61"/>
      <c r="GQ24" s="61"/>
      <c r="GR24" s="61"/>
      <c r="GS24" s="61"/>
      <c r="GT24" s="61"/>
      <c r="GU24" s="61"/>
      <c r="GV24" s="61"/>
      <c r="GW24" s="61"/>
      <c r="GX24" s="61"/>
      <c r="GY24" s="61"/>
      <c r="GZ24" s="61"/>
      <c r="HA24" s="61"/>
      <c r="HB24" s="61"/>
      <c r="HC24" s="61"/>
      <c r="HD24" s="61"/>
      <c r="HE24" s="61"/>
      <c r="HF24" s="61"/>
      <c r="HG24" s="61"/>
      <c r="HH24" s="61"/>
      <c r="HI24" s="61"/>
      <c r="HJ24" s="61"/>
      <c r="HK24" s="61"/>
      <c r="HL24" s="61"/>
      <c r="HM24" s="61"/>
      <c r="HN24" s="61"/>
      <c r="HO24" s="61"/>
      <c r="HP24" s="61"/>
      <c r="HQ24" s="61"/>
      <c r="HR24" s="61"/>
      <c r="HS24" s="61"/>
      <c r="HT24" s="61"/>
      <c r="HU24" s="61"/>
      <c r="HV24" s="61"/>
      <c r="HW24" s="61"/>
      <c r="HX24" s="61"/>
      <c r="HY24" s="61"/>
      <c r="HZ24" s="61"/>
      <c r="IA24" s="61"/>
      <c r="IB24" s="61"/>
      <c r="IC24" s="61"/>
      <c r="ID24" s="61"/>
      <c r="IE24" s="61"/>
      <c r="IF24" s="61"/>
      <c r="IG24" s="61"/>
      <c r="IH24" s="61"/>
      <c r="II24" s="61"/>
      <c r="IJ24" s="61"/>
      <c r="IK24" s="61"/>
      <c r="IL24" s="61"/>
      <c r="IM24" s="61"/>
      <c r="IN24" s="61"/>
      <c r="IO24" s="61"/>
      <c r="IP24" s="61"/>
      <c r="IQ24" s="61"/>
      <c r="IR24" s="61"/>
      <c r="IS24" s="61"/>
      <c r="IT24" s="61"/>
      <c r="IU24" s="61"/>
      <c r="IV24" s="61"/>
      <c r="IW24" s="61"/>
      <c r="IX24" s="61"/>
      <c r="IY24" s="61"/>
      <c r="IZ24" s="61"/>
    </row>
    <row r="25" spans="1:260" s="62" customFormat="1" ht="19.5" customHeight="1" x14ac:dyDescent="0.2">
      <c r="A25" s="78"/>
      <c r="B25" s="78"/>
      <c r="C25" s="78"/>
      <c r="D25" s="78"/>
      <c r="E25" s="148" t="s">
        <v>621</v>
      </c>
      <c r="F25" s="148"/>
      <c r="G25" s="148"/>
      <c r="H25" s="148"/>
      <c r="I25" s="148"/>
      <c r="J25" s="148"/>
      <c r="K25" s="148"/>
      <c r="L25" s="148"/>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61"/>
      <c r="DE25" s="61"/>
      <c r="DF25" s="61"/>
      <c r="DG25" s="61"/>
      <c r="DH25" s="61"/>
      <c r="DI25" s="61"/>
      <c r="DJ25" s="61"/>
      <c r="DK25" s="61"/>
      <c r="DL25" s="61"/>
      <c r="DM25" s="61"/>
      <c r="DN25" s="61"/>
      <c r="DO25" s="61"/>
      <c r="DP25" s="61"/>
      <c r="DQ25" s="61"/>
      <c r="DR25" s="61"/>
      <c r="DS25" s="61"/>
      <c r="DT25" s="61"/>
      <c r="DU25" s="61"/>
      <c r="DV25" s="61"/>
      <c r="DW25" s="61"/>
      <c r="DX25" s="61"/>
      <c r="DY25" s="61"/>
      <c r="DZ25" s="61"/>
      <c r="EA25" s="61"/>
      <c r="EB25" s="61"/>
      <c r="EC25" s="61"/>
      <c r="ED25" s="61"/>
      <c r="EE25" s="61"/>
      <c r="EF25" s="61"/>
      <c r="EG25" s="61"/>
      <c r="EH25" s="61"/>
      <c r="EI25" s="61"/>
      <c r="EJ25" s="61"/>
      <c r="EK25" s="61"/>
      <c r="EL25" s="61"/>
      <c r="EM25" s="61"/>
      <c r="EN25" s="61"/>
      <c r="EO25" s="61"/>
      <c r="EP25" s="61"/>
      <c r="EQ25" s="61"/>
      <c r="ER25" s="61"/>
      <c r="ES25" s="61"/>
      <c r="ET25" s="61"/>
      <c r="EU25" s="61"/>
      <c r="EV25" s="61"/>
      <c r="EW25" s="61"/>
      <c r="EX25" s="61"/>
      <c r="EY25" s="61"/>
      <c r="EZ25" s="61"/>
      <c r="FA25" s="61"/>
      <c r="FB25" s="61"/>
      <c r="FC25" s="61"/>
      <c r="FD25" s="61"/>
      <c r="FE25" s="61"/>
      <c r="FF25" s="61"/>
      <c r="FG25" s="61"/>
      <c r="FH25" s="61"/>
      <c r="FI25" s="61"/>
      <c r="FJ25" s="61"/>
      <c r="FK25" s="61"/>
      <c r="FL25" s="61"/>
      <c r="FM25" s="61"/>
      <c r="FN25" s="61"/>
      <c r="FO25" s="61"/>
      <c r="FP25" s="61"/>
      <c r="FQ25" s="61"/>
      <c r="FR25" s="61"/>
      <c r="FS25" s="61"/>
      <c r="FT25" s="61"/>
      <c r="FU25" s="61"/>
      <c r="FV25" s="61"/>
      <c r="FW25" s="61"/>
      <c r="FX25" s="61"/>
      <c r="FY25" s="61"/>
      <c r="FZ25" s="61"/>
      <c r="GA25" s="61"/>
      <c r="GB25" s="61"/>
      <c r="GC25" s="61"/>
      <c r="GD25" s="61"/>
      <c r="GE25" s="61"/>
      <c r="GF25" s="61"/>
      <c r="GG25" s="61"/>
      <c r="GH25" s="61"/>
      <c r="GI25" s="61"/>
      <c r="GJ25" s="61"/>
      <c r="GK25" s="61"/>
      <c r="GL25" s="61"/>
      <c r="GM25" s="61"/>
      <c r="GN25" s="61"/>
      <c r="GO25" s="61"/>
      <c r="GP25" s="61"/>
      <c r="GQ25" s="61"/>
      <c r="GR25" s="61"/>
      <c r="GS25" s="61"/>
      <c r="GT25" s="61"/>
      <c r="GU25" s="61"/>
      <c r="GV25" s="61"/>
      <c r="GW25" s="61"/>
      <c r="GX25" s="61"/>
      <c r="GY25" s="61"/>
      <c r="GZ25" s="61"/>
      <c r="HA25" s="61"/>
      <c r="HB25" s="61"/>
      <c r="HC25" s="61"/>
      <c r="HD25" s="61"/>
      <c r="HE25" s="61"/>
      <c r="HF25" s="61"/>
      <c r="HG25" s="61"/>
      <c r="HH25" s="61"/>
      <c r="HI25" s="61"/>
      <c r="HJ25" s="61"/>
      <c r="HK25" s="61"/>
      <c r="HL25" s="61"/>
      <c r="HM25" s="61"/>
      <c r="HN25" s="61"/>
      <c r="HO25" s="61"/>
      <c r="HP25" s="61"/>
      <c r="HQ25" s="61"/>
      <c r="HR25" s="61"/>
      <c r="HS25" s="61"/>
      <c r="HT25" s="61"/>
      <c r="HU25" s="61"/>
      <c r="HV25" s="61"/>
      <c r="HW25" s="61"/>
      <c r="HX25" s="61"/>
      <c r="HY25" s="61"/>
      <c r="HZ25" s="61"/>
      <c r="IA25" s="61"/>
      <c r="IB25" s="61"/>
      <c r="IC25" s="61"/>
      <c r="ID25" s="61"/>
      <c r="IE25" s="61"/>
      <c r="IF25" s="61"/>
      <c r="IG25" s="61"/>
      <c r="IH25" s="61"/>
      <c r="II25" s="61"/>
      <c r="IJ25" s="61"/>
      <c r="IK25" s="61"/>
      <c r="IL25" s="61"/>
      <c r="IM25" s="61"/>
      <c r="IN25" s="61"/>
      <c r="IO25" s="61"/>
      <c r="IP25" s="61"/>
      <c r="IQ25" s="61"/>
      <c r="IR25" s="61"/>
      <c r="IS25" s="61"/>
      <c r="IT25" s="61"/>
      <c r="IU25" s="61"/>
      <c r="IV25" s="61"/>
      <c r="IW25" s="61"/>
      <c r="IX25" s="61"/>
      <c r="IY25" s="61"/>
      <c r="IZ25" s="61"/>
    </row>
    <row r="26" spans="1:260" s="62" customFormat="1" ht="19.5" customHeight="1" x14ac:dyDescent="0.2">
      <c r="A26" s="78"/>
      <c r="B26" s="78"/>
      <c r="C26" s="78"/>
      <c r="D26" s="78"/>
      <c r="E26" s="149" t="s">
        <v>607</v>
      </c>
      <c r="F26" s="149"/>
      <c r="G26" s="149"/>
      <c r="H26" s="149"/>
      <c r="I26" s="149"/>
      <c r="J26" s="149"/>
      <c r="K26" s="149"/>
      <c r="L26" s="149"/>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c r="DA26" s="61"/>
      <c r="DB26" s="61"/>
      <c r="DC26" s="61"/>
      <c r="DD26" s="61"/>
      <c r="DE26" s="61"/>
      <c r="DF26" s="61"/>
      <c r="DG26" s="61"/>
      <c r="DH26" s="61"/>
      <c r="DI26" s="61"/>
      <c r="DJ26" s="61"/>
      <c r="DK26" s="61"/>
      <c r="DL26" s="61"/>
      <c r="DM26" s="61"/>
      <c r="DN26" s="61"/>
      <c r="DO26" s="61"/>
      <c r="DP26" s="61"/>
      <c r="DQ26" s="61"/>
      <c r="DR26" s="61"/>
      <c r="DS26" s="61"/>
      <c r="DT26" s="61"/>
      <c r="DU26" s="61"/>
      <c r="DV26" s="61"/>
      <c r="DW26" s="61"/>
      <c r="DX26" s="61"/>
      <c r="DY26" s="61"/>
      <c r="DZ26" s="61"/>
      <c r="EA26" s="61"/>
      <c r="EB26" s="61"/>
      <c r="EC26" s="61"/>
      <c r="ED26" s="61"/>
      <c r="EE26" s="61"/>
      <c r="EF26" s="61"/>
      <c r="EG26" s="61"/>
      <c r="EH26" s="61"/>
      <c r="EI26" s="61"/>
      <c r="EJ26" s="61"/>
      <c r="EK26" s="61"/>
      <c r="EL26" s="61"/>
      <c r="EM26" s="61"/>
      <c r="EN26" s="61"/>
      <c r="EO26" s="61"/>
      <c r="EP26" s="61"/>
      <c r="EQ26" s="61"/>
      <c r="ER26" s="61"/>
      <c r="ES26" s="61"/>
      <c r="ET26" s="61"/>
      <c r="EU26" s="61"/>
      <c r="EV26" s="61"/>
      <c r="EW26" s="61"/>
      <c r="EX26" s="61"/>
      <c r="EY26" s="61"/>
      <c r="EZ26" s="61"/>
      <c r="FA26" s="61"/>
      <c r="FB26" s="61"/>
      <c r="FC26" s="61"/>
      <c r="FD26" s="61"/>
      <c r="FE26" s="61"/>
      <c r="FF26" s="61"/>
      <c r="FG26" s="61"/>
      <c r="FH26" s="61"/>
      <c r="FI26" s="61"/>
      <c r="FJ26" s="61"/>
      <c r="FK26" s="61"/>
      <c r="FL26" s="61"/>
      <c r="FM26" s="61"/>
      <c r="FN26" s="61"/>
      <c r="FO26" s="61"/>
      <c r="FP26" s="61"/>
      <c r="FQ26" s="61"/>
      <c r="FR26" s="61"/>
      <c r="FS26" s="61"/>
      <c r="FT26" s="61"/>
      <c r="FU26" s="61"/>
      <c r="FV26" s="61"/>
      <c r="FW26" s="61"/>
      <c r="FX26" s="61"/>
      <c r="FY26" s="61"/>
      <c r="FZ26" s="61"/>
      <c r="GA26" s="61"/>
      <c r="GB26" s="61"/>
      <c r="GC26" s="61"/>
      <c r="GD26" s="61"/>
      <c r="GE26" s="61"/>
      <c r="GF26" s="61"/>
      <c r="GG26" s="61"/>
      <c r="GH26" s="61"/>
      <c r="GI26" s="61"/>
      <c r="GJ26" s="61"/>
      <c r="GK26" s="61"/>
      <c r="GL26" s="61"/>
      <c r="GM26" s="61"/>
      <c r="GN26" s="61"/>
      <c r="GO26" s="61"/>
      <c r="GP26" s="61"/>
      <c r="GQ26" s="61"/>
      <c r="GR26" s="61"/>
      <c r="GS26" s="61"/>
      <c r="GT26" s="61"/>
      <c r="GU26" s="61"/>
      <c r="GV26" s="61"/>
      <c r="GW26" s="61"/>
      <c r="GX26" s="61"/>
      <c r="GY26" s="61"/>
      <c r="GZ26" s="61"/>
      <c r="HA26" s="61"/>
      <c r="HB26" s="61"/>
      <c r="HC26" s="61"/>
      <c r="HD26" s="61"/>
      <c r="HE26" s="61"/>
      <c r="HF26" s="61"/>
      <c r="HG26" s="61"/>
      <c r="HH26" s="61"/>
      <c r="HI26" s="61"/>
      <c r="HJ26" s="61"/>
      <c r="HK26" s="61"/>
      <c r="HL26" s="61"/>
      <c r="HM26" s="61"/>
      <c r="HN26" s="61"/>
      <c r="HO26" s="61"/>
      <c r="HP26" s="61"/>
      <c r="HQ26" s="61"/>
      <c r="HR26" s="61"/>
      <c r="HS26" s="61"/>
      <c r="HT26" s="61"/>
      <c r="HU26" s="61"/>
      <c r="HV26" s="61"/>
      <c r="HW26" s="61"/>
      <c r="HX26" s="61"/>
      <c r="HY26" s="61"/>
      <c r="HZ26" s="61"/>
      <c r="IA26" s="61"/>
      <c r="IB26" s="61"/>
      <c r="IC26" s="61"/>
      <c r="ID26" s="61"/>
      <c r="IE26" s="61"/>
      <c r="IF26" s="61"/>
      <c r="IG26" s="61"/>
      <c r="IH26" s="61"/>
      <c r="II26" s="61"/>
      <c r="IJ26" s="61"/>
      <c r="IK26" s="61"/>
      <c r="IL26" s="61"/>
      <c r="IM26" s="61"/>
      <c r="IN26" s="61"/>
      <c r="IO26" s="61"/>
      <c r="IP26" s="61"/>
      <c r="IQ26" s="61"/>
      <c r="IR26" s="61"/>
      <c r="IS26" s="61"/>
      <c r="IT26" s="61"/>
      <c r="IU26" s="61"/>
      <c r="IV26" s="61"/>
      <c r="IW26" s="61"/>
      <c r="IX26" s="61"/>
      <c r="IY26" s="61"/>
      <c r="IZ26" s="61"/>
    </row>
    <row r="27" spans="1:260" s="62" customFormat="1" ht="19.5" customHeight="1" x14ac:dyDescent="0.2">
      <c r="A27" s="78"/>
      <c r="B27" s="78"/>
      <c r="C27" s="78"/>
      <c r="D27" s="78"/>
      <c r="E27" s="149" t="s">
        <v>608</v>
      </c>
      <c r="F27" s="149"/>
      <c r="G27" s="149"/>
      <c r="H27" s="149"/>
      <c r="I27" s="149"/>
      <c r="J27" s="149"/>
      <c r="K27" s="149"/>
      <c r="L27" s="149"/>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c r="DA27" s="61"/>
      <c r="DB27" s="61"/>
      <c r="DC27" s="61"/>
      <c r="DD27" s="61"/>
      <c r="DE27" s="61"/>
      <c r="DF27" s="61"/>
      <c r="DG27" s="61"/>
      <c r="DH27" s="61"/>
      <c r="DI27" s="61"/>
      <c r="DJ27" s="61"/>
      <c r="DK27" s="61"/>
      <c r="DL27" s="61"/>
      <c r="DM27" s="61"/>
      <c r="DN27" s="61"/>
      <c r="DO27" s="61"/>
      <c r="DP27" s="61"/>
      <c r="DQ27" s="61"/>
      <c r="DR27" s="61"/>
      <c r="DS27" s="61"/>
      <c r="DT27" s="61"/>
      <c r="DU27" s="61"/>
      <c r="DV27" s="61"/>
      <c r="DW27" s="61"/>
      <c r="DX27" s="61"/>
      <c r="DY27" s="61"/>
      <c r="DZ27" s="61"/>
      <c r="EA27" s="61"/>
      <c r="EB27" s="61"/>
      <c r="EC27" s="61"/>
      <c r="ED27" s="61"/>
      <c r="EE27" s="61"/>
      <c r="EF27" s="61"/>
      <c r="EG27" s="61"/>
      <c r="EH27" s="61"/>
      <c r="EI27" s="61"/>
      <c r="EJ27" s="61"/>
      <c r="EK27" s="61"/>
      <c r="EL27" s="61"/>
      <c r="EM27" s="61"/>
      <c r="EN27" s="61"/>
      <c r="EO27" s="61"/>
      <c r="EP27" s="61"/>
      <c r="EQ27" s="61"/>
      <c r="ER27" s="61"/>
      <c r="ES27" s="61"/>
      <c r="ET27" s="61"/>
      <c r="EU27" s="61"/>
      <c r="EV27" s="61"/>
      <c r="EW27" s="61"/>
      <c r="EX27" s="61"/>
      <c r="EY27" s="61"/>
      <c r="EZ27" s="61"/>
      <c r="FA27" s="61"/>
      <c r="FB27" s="61"/>
      <c r="FC27" s="61"/>
      <c r="FD27" s="61"/>
      <c r="FE27" s="61"/>
      <c r="FF27" s="61"/>
      <c r="FG27" s="61"/>
      <c r="FH27" s="61"/>
      <c r="FI27" s="61"/>
      <c r="FJ27" s="61"/>
      <c r="FK27" s="61"/>
      <c r="FL27" s="61"/>
      <c r="FM27" s="61"/>
      <c r="FN27" s="61"/>
      <c r="FO27" s="61"/>
      <c r="FP27" s="61"/>
      <c r="FQ27" s="61"/>
      <c r="FR27" s="61"/>
      <c r="FS27" s="61"/>
      <c r="FT27" s="61"/>
      <c r="FU27" s="61"/>
      <c r="FV27" s="61"/>
      <c r="FW27" s="61"/>
      <c r="FX27" s="61"/>
      <c r="FY27" s="61"/>
      <c r="FZ27" s="61"/>
      <c r="GA27" s="61"/>
      <c r="GB27" s="61"/>
      <c r="GC27" s="61"/>
      <c r="GD27" s="61"/>
      <c r="GE27" s="61"/>
      <c r="GF27" s="61"/>
      <c r="GG27" s="61"/>
      <c r="GH27" s="61"/>
      <c r="GI27" s="61"/>
      <c r="GJ27" s="61"/>
      <c r="GK27" s="61"/>
      <c r="GL27" s="61"/>
      <c r="GM27" s="61"/>
      <c r="GN27" s="61"/>
      <c r="GO27" s="61"/>
      <c r="GP27" s="61"/>
      <c r="GQ27" s="61"/>
      <c r="GR27" s="61"/>
      <c r="GS27" s="61"/>
      <c r="GT27" s="61"/>
      <c r="GU27" s="61"/>
      <c r="GV27" s="61"/>
      <c r="GW27" s="61"/>
      <c r="GX27" s="61"/>
      <c r="GY27" s="61"/>
      <c r="GZ27" s="61"/>
      <c r="HA27" s="61"/>
      <c r="HB27" s="61"/>
      <c r="HC27" s="61"/>
      <c r="HD27" s="61"/>
      <c r="HE27" s="61"/>
      <c r="HF27" s="61"/>
      <c r="HG27" s="61"/>
      <c r="HH27" s="61"/>
      <c r="HI27" s="61"/>
      <c r="HJ27" s="61"/>
      <c r="HK27" s="61"/>
      <c r="HL27" s="61"/>
      <c r="HM27" s="61"/>
      <c r="HN27" s="61"/>
      <c r="HO27" s="61"/>
      <c r="HP27" s="61"/>
      <c r="HQ27" s="61"/>
      <c r="HR27" s="61"/>
      <c r="HS27" s="61"/>
      <c r="HT27" s="61"/>
      <c r="HU27" s="61"/>
      <c r="HV27" s="61"/>
      <c r="HW27" s="61"/>
      <c r="HX27" s="61"/>
      <c r="HY27" s="61"/>
      <c r="HZ27" s="61"/>
      <c r="IA27" s="61"/>
      <c r="IB27" s="61"/>
      <c r="IC27" s="61"/>
      <c r="ID27" s="61"/>
      <c r="IE27" s="61"/>
      <c r="IF27" s="61"/>
      <c r="IG27" s="61"/>
      <c r="IH27" s="61"/>
      <c r="II27" s="61"/>
      <c r="IJ27" s="61"/>
      <c r="IK27" s="61"/>
      <c r="IL27" s="61"/>
      <c r="IM27" s="61"/>
      <c r="IN27" s="61"/>
      <c r="IO27" s="61"/>
      <c r="IP27" s="61"/>
      <c r="IQ27" s="61"/>
      <c r="IR27" s="61"/>
      <c r="IS27" s="61"/>
      <c r="IT27" s="61"/>
      <c r="IU27" s="61"/>
      <c r="IV27" s="61"/>
      <c r="IW27" s="61"/>
      <c r="IX27" s="61"/>
      <c r="IY27" s="61"/>
      <c r="IZ27" s="61"/>
    </row>
    <row r="28" spans="1:260" s="62" customFormat="1" ht="19.5" customHeight="1" x14ac:dyDescent="0.2">
      <c r="A28" s="78"/>
      <c r="B28" s="78"/>
      <c r="C28" s="78"/>
      <c r="D28" s="78"/>
      <c r="E28" s="149" t="s">
        <v>609</v>
      </c>
      <c r="F28" s="149"/>
      <c r="G28" s="149"/>
      <c r="H28" s="149"/>
      <c r="I28" s="149"/>
      <c r="J28" s="149"/>
      <c r="K28" s="149"/>
      <c r="L28" s="149"/>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c r="DA28" s="61"/>
      <c r="DB28" s="61"/>
      <c r="DC28" s="61"/>
      <c r="DD28" s="61"/>
      <c r="DE28" s="61"/>
      <c r="DF28" s="61"/>
      <c r="DG28" s="61"/>
      <c r="DH28" s="61"/>
      <c r="DI28" s="61"/>
      <c r="DJ28" s="61"/>
      <c r="DK28" s="61"/>
      <c r="DL28" s="61"/>
      <c r="DM28" s="61"/>
      <c r="DN28" s="61"/>
      <c r="DO28" s="61"/>
      <c r="DP28" s="61"/>
      <c r="DQ28" s="61"/>
      <c r="DR28" s="61"/>
      <c r="DS28" s="61"/>
      <c r="DT28" s="61"/>
      <c r="DU28" s="61"/>
      <c r="DV28" s="61"/>
      <c r="DW28" s="61"/>
      <c r="DX28" s="61"/>
      <c r="DY28" s="61"/>
      <c r="DZ28" s="61"/>
      <c r="EA28" s="61"/>
      <c r="EB28" s="61"/>
      <c r="EC28" s="61"/>
      <c r="ED28" s="61"/>
      <c r="EE28" s="61"/>
      <c r="EF28" s="61"/>
      <c r="EG28" s="61"/>
      <c r="EH28" s="61"/>
      <c r="EI28" s="61"/>
      <c r="EJ28" s="61"/>
      <c r="EK28" s="61"/>
      <c r="EL28" s="61"/>
      <c r="EM28" s="61"/>
      <c r="EN28" s="61"/>
      <c r="EO28" s="61"/>
      <c r="EP28" s="61"/>
      <c r="EQ28" s="61"/>
      <c r="ER28" s="61"/>
      <c r="ES28" s="61"/>
      <c r="ET28" s="61"/>
      <c r="EU28" s="61"/>
      <c r="EV28" s="61"/>
      <c r="EW28" s="61"/>
      <c r="EX28" s="61"/>
      <c r="EY28" s="61"/>
      <c r="EZ28" s="61"/>
      <c r="FA28" s="61"/>
      <c r="FB28" s="61"/>
      <c r="FC28" s="61"/>
      <c r="FD28" s="61"/>
      <c r="FE28" s="61"/>
      <c r="FF28" s="61"/>
      <c r="FG28" s="61"/>
      <c r="FH28" s="61"/>
      <c r="FI28" s="61"/>
      <c r="FJ28" s="61"/>
      <c r="FK28" s="61"/>
      <c r="FL28" s="61"/>
      <c r="FM28" s="61"/>
      <c r="FN28" s="61"/>
      <c r="FO28" s="61"/>
      <c r="FP28" s="61"/>
      <c r="FQ28" s="61"/>
      <c r="FR28" s="61"/>
      <c r="FS28" s="61"/>
      <c r="FT28" s="61"/>
      <c r="FU28" s="61"/>
      <c r="FV28" s="61"/>
      <c r="FW28" s="61"/>
      <c r="FX28" s="61"/>
      <c r="FY28" s="61"/>
      <c r="FZ28" s="61"/>
      <c r="GA28" s="61"/>
      <c r="GB28" s="61"/>
      <c r="GC28" s="61"/>
      <c r="GD28" s="61"/>
      <c r="GE28" s="61"/>
      <c r="GF28" s="61"/>
      <c r="GG28" s="61"/>
      <c r="GH28" s="61"/>
      <c r="GI28" s="61"/>
      <c r="GJ28" s="61"/>
      <c r="GK28" s="61"/>
      <c r="GL28" s="61"/>
      <c r="GM28" s="61"/>
      <c r="GN28" s="61"/>
      <c r="GO28" s="61"/>
      <c r="GP28" s="61"/>
      <c r="GQ28" s="61"/>
      <c r="GR28" s="61"/>
      <c r="GS28" s="61"/>
      <c r="GT28" s="61"/>
      <c r="GU28" s="61"/>
      <c r="GV28" s="61"/>
      <c r="GW28" s="61"/>
      <c r="GX28" s="61"/>
      <c r="GY28" s="61"/>
      <c r="GZ28" s="61"/>
      <c r="HA28" s="61"/>
      <c r="HB28" s="61"/>
      <c r="HC28" s="61"/>
      <c r="HD28" s="61"/>
      <c r="HE28" s="61"/>
      <c r="HF28" s="61"/>
      <c r="HG28" s="61"/>
      <c r="HH28" s="61"/>
      <c r="HI28" s="61"/>
      <c r="HJ28" s="61"/>
      <c r="HK28" s="61"/>
      <c r="HL28" s="61"/>
      <c r="HM28" s="61"/>
      <c r="HN28" s="61"/>
      <c r="HO28" s="61"/>
      <c r="HP28" s="61"/>
      <c r="HQ28" s="61"/>
      <c r="HR28" s="61"/>
      <c r="HS28" s="61"/>
      <c r="HT28" s="61"/>
      <c r="HU28" s="61"/>
      <c r="HV28" s="61"/>
      <c r="HW28" s="61"/>
      <c r="HX28" s="61"/>
      <c r="HY28" s="61"/>
      <c r="HZ28" s="61"/>
      <c r="IA28" s="61"/>
      <c r="IB28" s="61"/>
      <c r="IC28" s="61"/>
      <c r="ID28" s="61"/>
      <c r="IE28" s="61"/>
      <c r="IF28" s="61"/>
      <c r="IG28" s="61"/>
      <c r="IH28" s="61"/>
      <c r="II28" s="61"/>
      <c r="IJ28" s="61"/>
      <c r="IK28" s="61"/>
      <c r="IL28" s="61"/>
      <c r="IM28" s="61"/>
      <c r="IN28" s="61"/>
      <c r="IO28" s="61"/>
      <c r="IP28" s="61"/>
      <c r="IQ28" s="61"/>
      <c r="IR28" s="61"/>
      <c r="IS28" s="61"/>
      <c r="IT28" s="61"/>
      <c r="IU28" s="61"/>
      <c r="IV28" s="61"/>
      <c r="IW28" s="61"/>
      <c r="IX28" s="61"/>
      <c r="IY28" s="61"/>
      <c r="IZ28" s="61"/>
    </row>
    <row r="29" spans="1:260" s="62" customFormat="1" ht="19.5" customHeight="1" x14ac:dyDescent="0.2">
      <c r="A29" s="78"/>
      <c r="B29" s="78"/>
      <c r="C29" s="78"/>
      <c r="D29" s="78"/>
      <c r="E29" s="149" t="s">
        <v>610</v>
      </c>
      <c r="F29" s="149"/>
      <c r="G29" s="149"/>
      <c r="H29" s="149"/>
      <c r="I29" s="149"/>
      <c r="J29" s="149"/>
      <c r="K29" s="149"/>
      <c r="L29" s="149"/>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61"/>
      <c r="DE29" s="61"/>
      <c r="DF29" s="61"/>
      <c r="DG29" s="61"/>
      <c r="DH29" s="61"/>
      <c r="DI29" s="61"/>
      <c r="DJ29" s="61"/>
      <c r="DK29" s="61"/>
      <c r="DL29" s="61"/>
      <c r="DM29" s="61"/>
      <c r="DN29" s="61"/>
      <c r="DO29" s="61"/>
      <c r="DP29" s="61"/>
      <c r="DQ29" s="61"/>
      <c r="DR29" s="61"/>
      <c r="DS29" s="61"/>
      <c r="DT29" s="61"/>
      <c r="DU29" s="61"/>
      <c r="DV29" s="61"/>
      <c r="DW29" s="61"/>
      <c r="DX29" s="61"/>
      <c r="DY29" s="61"/>
      <c r="DZ29" s="61"/>
      <c r="EA29" s="61"/>
      <c r="EB29" s="61"/>
      <c r="EC29" s="61"/>
      <c r="ED29" s="61"/>
      <c r="EE29" s="61"/>
      <c r="EF29" s="61"/>
      <c r="EG29" s="61"/>
      <c r="EH29" s="61"/>
      <c r="EI29" s="61"/>
      <c r="EJ29" s="61"/>
      <c r="EK29" s="61"/>
      <c r="EL29" s="61"/>
      <c r="EM29" s="61"/>
      <c r="EN29" s="61"/>
      <c r="EO29" s="61"/>
      <c r="EP29" s="61"/>
      <c r="EQ29" s="61"/>
      <c r="ER29" s="61"/>
      <c r="ES29" s="61"/>
      <c r="ET29" s="61"/>
      <c r="EU29" s="61"/>
      <c r="EV29" s="61"/>
      <c r="EW29" s="61"/>
      <c r="EX29" s="61"/>
      <c r="EY29" s="61"/>
      <c r="EZ29" s="61"/>
      <c r="FA29" s="61"/>
      <c r="FB29" s="61"/>
      <c r="FC29" s="61"/>
      <c r="FD29" s="61"/>
      <c r="FE29" s="61"/>
      <c r="FF29" s="61"/>
      <c r="FG29" s="61"/>
      <c r="FH29" s="61"/>
      <c r="FI29" s="61"/>
      <c r="FJ29" s="61"/>
      <c r="FK29" s="61"/>
      <c r="FL29" s="61"/>
      <c r="FM29" s="61"/>
      <c r="FN29" s="61"/>
      <c r="FO29" s="61"/>
      <c r="FP29" s="61"/>
      <c r="FQ29" s="61"/>
      <c r="FR29" s="61"/>
      <c r="FS29" s="61"/>
      <c r="FT29" s="61"/>
      <c r="FU29" s="61"/>
      <c r="FV29" s="61"/>
      <c r="FW29" s="61"/>
      <c r="FX29" s="61"/>
      <c r="FY29" s="61"/>
      <c r="FZ29" s="61"/>
      <c r="GA29" s="61"/>
      <c r="GB29" s="61"/>
      <c r="GC29" s="61"/>
      <c r="GD29" s="61"/>
      <c r="GE29" s="61"/>
      <c r="GF29" s="61"/>
      <c r="GG29" s="61"/>
      <c r="GH29" s="61"/>
      <c r="GI29" s="61"/>
      <c r="GJ29" s="61"/>
      <c r="GK29" s="61"/>
      <c r="GL29" s="61"/>
      <c r="GM29" s="61"/>
      <c r="GN29" s="61"/>
      <c r="GO29" s="61"/>
      <c r="GP29" s="61"/>
      <c r="GQ29" s="61"/>
      <c r="GR29" s="61"/>
      <c r="GS29" s="61"/>
      <c r="GT29" s="61"/>
      <c r="GU29" s="61"/>
      <c r="GV29" s="61"/>
      <c r="GW29" s="61"/>
      <c r="GX29" s="61"/>
      <c r="GY29" s="61"/>
      <c r="GZ29" s="61"/>
      <c r="HA29" s="61"/>
      <c r="HB29" s="61"/>
      <c r="HC29" s="61"/>
      <c r="HD29" s="61"/>
      <c r="HE29" s="61"/>
      <c r="HF29" s="61"/>
      <c r="HG29" s="61"/>
      <c r="HH29" s="61"/>
      <c r="HI29" s="61"/>
      <c r="HJ29" s="61"/>
      <c r="HK29" s="61"/>
      <c r="HL29" s="61"/>
      <c r="HM29" s="61"/>
      <c r="HN29" s="61"/>
      <c r="HO29" s="61"/>
      <c r="HP29" s="61"/>
      <c r="HQ29" s="61"/>
      <c r="HR29" s="61"/>
      <c r="HS29" s="61"/>
      <c r="HT29" s="61"/>
      <c r="HU29" s="61"/>
      <c r="HV29" s="61"/>
      <c r="HW29" s="61"/>
      <c r="HX29" s="61"/>
      <c r="HY29" s="61"/>
      <c r="HZ29" s="61"/>
      <c r="IA29" s="61"/>
      <c r="IB29" s="61"/>
      <c r="IC29" s="61"/>
      <c r="ID29" s="61"/>
      <c r="IE29" s="61"/>
      <c r="IF29" s="61"/>
      <c r="IG29" s="61"/>
      <c r="IH29" s="61"/>
      <c r="II29" s="61"/>
      <c r="IJ29" s="61"/>
      <c r="IK29" s="61"/>
      <c r="IL29" s="61"/>
      <c r="IM29" s="61"/>
      <c r="IN29" s="61"/>
      <c r="IO29" s="61"/>
      <c r="IP29" s="61"/>
      <c r="IQ29" s="61"/>
      <c r="IR29" s="61"/>
      <c r="IS29" s="61"/>
      <c r="IT29" s="61"/>
      <c r="IU29" s="61"/>
      <c r="IV29" s="61"/>
      <c r="IW29" s="61"/>
      <c r="IX29" s="61"/>
      <c r="IY29" s="61"/>
      <c r="IZ29" s="61"/>
    </row>
    <row r="30" spans="1:260" s="62" customFormat="1" ht="19.5" customHeight="1" x14ac:dyDescent="0.2">
      <c r="A30" s="78"/>
      <c r="B30" s="78"/>
      <c r="C30" s="78"/>
      <c r="D30" s="78"/>
      <c r="E30" s="149" t="s">
        <v>611</v>
      </c>
      <c r="F30" s="149"/>
      <c r="G30" s="149"/>
      <c r="H30" s="149"/>
      <c r="I30" s="149"/>
      <c r="J30" s="149"/>
      <c r="K30" s="149"/>
      <c r="L30" s="149"/>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c r="DA30" s="61"/>
      <c r="DB30" s="61"/>
      <c r="DC30" s="61"/>
      <c r="DD30" s="61"/>
      <c r="DE30" s="61"/>
      <c r="DF30" s="61"/>
      <c r="DG30" s="61"/>
      <c r="DH30" s="61"/>
      <c r="DI30" s="61"/>
      <c r="DJ30" s="61"/>
      <c r="DK30" s="61"/>
      <c r="DL30" s="61"/>
      <c r="DM30" s="61"/>
      <c r="DN30" s="61"/>
      <c r="DO30" s="61"/>
      <c r="DP30" s="61"/>
      <c r="DQ30" s="61"/>
      <c r="DR30" s="61"/>
      <c r="DS30" s="61"/>
      <c r="DT30" s="61"/>
      <c r="DU30" s="61"/>
      <c r="DV30" s="61"/>
      <c r="DW30" s="61"/>
      <c r="DX30" s="61"/>
      <c r="DY30" s="61"/>
      <c r="DZ30" s="61"/>
      <c r="EA30" s="61"/>
      <c r="EB30" s="61"/>
      <c r="EC30" s="61"/>
      <c r="ED30" s="61"/>
      <c r="EE30" s="61"/>
      <c r="EF30" s="61"/>
      <c r="EG30" s="61"/>
      <c r="EH30" s="61"/>
      <c r="EI30" s="61"/>
      <c r="EJ30" s="61"/>
      <c r="EK30" s="61"/>
      <c r="EL30" s="61"/>
      <c r="EM30" s="61"/>
      <c r="EN30" s="61"/>
      <c r="EO30" s="61"/>
      <c r="EP30" s="61"/>
      <c r="EQ30" s="61"/>
      <c r="ER30" s="61"/>
      <c r="ES30" s="61"/>
      <c r="ET30" s="61"/>
      <c r="EU30" s="61"/>
      <c r="EV30" s="61"/>
      <c r="EW30" s="61"/>
      <c r="EX30" s="61"/>
      <c r="EY30" s="61"/>
      <c r="EZ30" s="61"/>
      <c r="FA30" s="61"/>
      <c r="FB30" s="61"/>
      <c r="FC30" s="61"/>
      <c r="FD30" s="61"/>
      <c r="FE30" s="61"/>
      <c r="FF30" s="61"/>
      <c r="FG30" s="61"/>
      <c r="FH30" s="61"/>
      <c r="FI30" s="61"/>
      <c r="FJ30" s="61"/>
      <c r="FK30" s="61"/>
      <c r="FL30" s="61"/>
      <c r="FM30" s="61"/>
      <c r="FN30" s="61"/>
      <c r="FO30" s="61"/>
      <c r="FP30" s="61"/>
      <c r="FQ30" s="61"/>
      <c r="FR30" s="61"/>
      <c r="FS30" s="61"/>
      <c r="FT30" s="61"/>
      <c r="FU30" s="61"/>
      <c r="FV30" s="61"/>
      <c r="FW30" s="61"/>
      <c r="FX30" s="61"/>
      <c r="FY30" s="61"/>
      <c r="FZ30" s="61"/>
      <c r="GA30" s="61"/>
      <c r="GB30" s="61"/>
      <c r="GC30" s="61"/>
      <c r="GD30" s="61"/>
      <c r="GE30" s="61"/>
      <c r="GF30" s="61"/>
      <c r="GG30" s="61"/>
      <c r="GH30" s="61"/>
      <c r="GI30" s="61"/>
      <c r="GJ30" s="61"/>
      <c r="GK30" s="61"/>
      <c r="GL30" s="61"/>
      <c r="GM30" s="61"/>
      <c r="GN30" s="61"/>
      <c r="GO30" s="61"/>
      <c r="GP30" s="61"/>
      <c r="GQ30" s="61"/>
      <c r="GR30" s="61"/>
      <c r="GS30" s="61"/>
      <c r="GT30" s="61"/>
      <c r="GU30" s="61"/>
      <c r="GV30" s="61"/>
      <c r="GW30" s="61"/>
      <c r="GX30" s="61"/>
      <c r="GY30" s="61"/>
      <c r="GZ30" s="61"/>
      <c r="HA30" s="61"/>
      <c r="HB30" s="61"/>
      <c r="HC30" s="61"/>
      <c r="HD30" s="61"/>
      <c r="HE30" s="61"/>
      <c r="HF30" s="61"/>
      <c r="HG30" s="61"/>
      <c r="HH30" s="61"/>
      <c r="HI30" s="61"/>
      <c r="HJ30" s="61"/>
      <c r="HK30" s="61"/>
      <c r="HL30" s="61"/>
      <c r="HM30" s="61"/>
      <c r="HN30" s="61"/>
      <c r="HO30" s="61"/>
      <c r="HP30" s="61"/>
      <c r="HQ30" s="61"/>
      <c r="HR30" s="61"/>
      <c r="HS30" s="61"/>
      <c r="HT30" s="61"/>
      <c r="HU30" s="61"/>
      <c r="HV30" s="61"/>
      <c r="HW30" s="61"/>
      <c r="HX30" s="61"/>
      <c r="HY30" s="61"/>
      <c r="HZ30" s="61"/>
      <c r="IA30" s="61"/>
      <c r="IB30" s="61"/>
      <c r="IC30" s="61"/>
      <c r="ID30" s="61"/>
      <c r="IE30" s="61"/>
      <c r="IF30" s="61"/>
      <c r="IG30" s="61"/>
      <c r="IH30" s="61"/>
      <c r="II30" s="61"/>
      <c r="IJ30" s="61"/>
      <c r="IK30" s="61"/>
      <c r="IL30" s="61"/>
      <c r="IM30" s="61"/>
      <c r="IN30" s="61"/>
      <c r="IO30" s="61"/>
      <c r="IP30" s="61"/>
      <c r="IQ30" s="61"/>
      <c r="IR30" s="61"/>
      <c r="IS30" s="61"/>
      <c r="IT30" s="61"/>
      <c r="IU30" s="61"/>
      <c r="IV30" s="61"/>
      <c r="IW30" s="61"/>
      <c r="IX30" s="61"/>
      <c r="IY30" s="61"/>
      <c r="IZ30" s="61"/>
    </row>
    <row r="31" spans="1:260" s="62" customFormat="1" ht="19.5" customHeight="1" x14ac:dyDescent="0.2">
      <c r="A31" s="78"/>
      <c r="B31" s="78"/>
      <c r="C31" s="78"/>
      <c r="D31" s="78"/>
      <c r="E31" s="162" t="s">
        <v>612</v>
      </c>
      <c r="F31" s="162"/>
      <c r="G31" s="162"/>
      <c r="H31" s="162"/>
      <c r="I31" s="162"/>
      <c r="J31" s="162"/>
      <c r="K31" s="162"/>
      <c r="L31" s="162"/>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c r="DA31" s="61"/>
      <c r="DB31" s="61"/>
      <c r="DC31" s="61"/>
      <c r="DD31" s="61"/>
      <c r="DE31" s="61"/>
      <c r="DF31" s="61"/>
      <c r="DG31" s="61"/>
      <c r="DH31" s="61"/>
      <c r="DI31" s="61"/>
      <c r="DJ31" s="61"/>
      <c r="DK31" s="61"/>
      <c r="DL31" s="61"/>
      <c r="DM31" s="61"/>
      <c r="DN31" s="61"/>
      <c r="DO31" s="61"/>
      <c r="DP31" s="61"/>
      <c r="DQ31" s="61"/>
      <c r="DR31" s="61"/>
      <c r="DS31" s="61"/>
      <c r="DT31" s="61"/>
      <c r="DU31" s="61"/>
      <c r="DV31" s="61"/>
      <c r="DW31" s="61"/>
      <c r="DX31" s="61"/>
      <c r="DY31" s="61"/>
      <c r="DZ31" s="61"/>
      <c r="EA31" s="61"/>
      <c r="EB31" s="61"/>
      <c r="EC31" s="61"/>
      <c r="ED31" s="61"/>
      <c r="EE31" s="61"/>
      <c r="EF31" s="61"/>
      <c r="EG31" s="61"/>
      <c r="EH31" s="61"/>
      <c r="EI31" s="61"/>
      <c r="EJ31" s="61"/>
      <c r="EK31" s="61"/>
      <c r="EL31" s="61"/>
      <c r="EM31" s="61"/>
      <c r="EN31" s="61"/>
      <c r="EO31" s="61"/>
      <c r="EP31" s="61"/>
      <c r="EQ31" s="61"/>
      <c r="ER31" s="61"/>
      <c r="ES31" s="61"/>
      <c r="ET31" s="61"/>
      <c r="EU31" s="61"/>
      <c r="EV31" s="61"/>
      <c r="EW31" s="61"/>
      <c r="EX31" s="61"/>
      <c r="EY31" s="61"/>
      <c r="EZ31" s="61"/>
      <c r="FA31" s="61"/>
      <c r="FB31" s="61"/>
      <c r="FC31" s="61"/>
      <c r="FD31" s="61"/>
      <c r="FE31" s="61"/>
      <c r="FF31" s="61"/>
      <c r="FG31" s="61"/>
      <c r="FH31" s="61"/>
      <c r="FI31" s="61"/>
      <c r="FJ31" s="61"/>
      <c r="FK31" s="61"/>
      <c r="FL31" s="61"/>
      <c r="FM31" s="61"/>
      <c r="FN31" s="61"/>
      <c r="FO31" s="61"/>
      <c r="FP31" s="61"/>
      <c r="FQ31" s="61"/>
      <c r="FR31" s="61"/>
      <c r="FS31" s="61"/>
      <c r="FT31" s="61"/>
      <c r="FU31" s="61"/>
      <c r="FV31" s="61"/>
      <c r="FW31" s="61"/>
      <c r="FX31" s="61"/>
      <c r="FY31" s="61"/>
      <c r="FZ31" s="61"/>
      <c r="GA31" s="61"/>
      <c r="GB31" s="61"/>
      <c r="GC31" s="61"/>
      <c r="GD31" s="61"/>
      <c r="GE31" s="61"/>
      <c r="GF31" s="61"/>
      <c r="GG31" s="61"/>
      <c r="GH31" s="61"/>
      <c r="GI31" s="61"/>
      <c r="GJ31" s="61"/>
      <c r="GK31" s="61"/>
      <c r="GL31" s="61"/>
      <c r="GM31" s="61"/>
      <c r="GN31" s="61"/>
      <c r="GO31" s="61"/>
      <c r="GP31" s="61"/>
      <c r="GQ31" s="61"/>
      <c r="GR31" s="61"/>
      <c r="GS31" s="61"/>
      <c r="GT31" s="61"/>
      <c r="GU31" s="61"/>
      <c r="GV31" s="61"/>
      <c r="GW31" s="61"/>
      <c r="GX31" s="61"/>
      <c r="GY31" s="61"/>
      <c r="GZ31" s="61"/>
      <c r="HA31" s="61"/>
      <c r="HB31" s="61"/>
      <c r="HC31" s="61"/>
      <c r="HD31" s="61"/>
      <c r="HE31" s="61"/>
      <c r="HF31" s="61"/>
      <c r="HG31" s="61"/>
      <c r="HH31" s="61"/>
      <c r="HI31" s="61"/>
      <c r="HJ31" s="61"/>
      <c r="HK31" s="61"/>
      <c r="HL31" s="61"/>
      <c r="HM31" s="61"/>
      <c r="HN31" s="61"/>
      <c r="HO31" s="61"/>
      <c r="HP31" s="61"/>
      <c r="HQ31" s="61"/>
      <c r="HR31" s="61"/>
      <c r="HS31" s="61"/>
      <c r="HT31" s="61"/>
      <c r="HU31" s="61"/>
      <c r="HV31" s="61"/>
      <c r="HW31" s="61"/>
      <c r="HX31" s="61"/>
      <c r="HY31" s="61"/>
      <c r="HZ31" s="61"/>
      <c r="IA31" s="61"/>
      <c r="IB31" s="61"/>
      <c r="IC31" s="61"/>
      <c r="ID31" s="61"/>
      <c r="IE31" s="61"/>
      <c r="IF31" s="61"/>
      <c r="IG31" s="61"/>
      <c r="IH31" s="61"/>
      <c r="II31" s="61"/>
      <c r="IJ31" s="61"/>
      <c r="IK31" s="61"/>
      <c r="IL31" s="61"/>
      <c r="IM31" s="61"/>
      <c r="IN31" s="61"/>
      <c r="IO31" s="61"/>
      <c r="IP31" s="61"/>
      <c r="IQ31" s="61"/>
      <c r="IR31" s="61"/>
      <c r="IS31" s="61"/>
      <c r="IT31" s="61"/>
      <c r="IU31" s="61"/>
      <c r="IV31" s="61"/>
      <c r="IW31" s="61"/>
      <c r="IX31" s="61"/>
      <c r="IY31" s="61"/>
      <c r="IZ31" s="61"/>
    </row>
    <row r="32" spans="1:260" s="62" customFormat="1" ht="19.5" customHeight="1" x14ac:dyDescent="0.2">
      <c r="A32" s="78"/>
      <c r="B32" s="78"/>
      <c r="C32" s="78"/>
      <c r="D32" s="78"/>
      <c r="E32" s="149" t="s">
        <v>613</v>
      </c>
      <c r="F32" s="149"/>
      <c r="G32" s="149"/>
      <c r="H32" s="149"/>
      <c r="I32" s="149"/>
      <c r="J32" s="149"/>
      <c r="K32" s="149"/>
      <c r="L32" s="149"/>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c r="DA32" s="61"/>
      <c r="DB32" s="61"/>
      <c r="DC32" s="61"/>
      <c r="DD32" s="61"/>
      <c r="DE32" s="61"/>
      <c r="DF32" s="61"/>
      <c r="DG32" s="61"/>
      <c r="DH32" s="61"/>
      <c r="DI32" s="61"/>
      <c r="DJ32" s="61"/>
      <c r="DK32" s="61"/>
      <c r="DL32" s="61"/>
      <c r="DM32" s="61"/>
      <c r="DN32" s="61"/>
      <c r="DO32" s="61"/>
      <c r="DP32" s="61"/>
      <c r="DQ32" s="61"/>
      <c r="DR32" s="61"/>
      <c r="DS32" s="61"/>
      <c r="DT32" s="61"/>
      <c r="DU32" s="61"/>
      <c r="DV32" s="61"/>
      <c r="DW32" s="61"/>
      <c r="DX32" s="61"/>
      <c r="DY32" s="61"/>
      <c r="DZ32" s="61"/>
      <c r="EA32" s="61"/>
      <c r="EB32" s="61"/>
      <c r="EC32" s="61"/>
      <c r="ED32" s="61"/>
      <c r="EE32" s="61"/>
      <c r="EF32" s="61"/>
      <c r="EG32" s="61"/>
      <c r="EH32" s="61"/>
      <c r="EI32" s="61"/>
      <c r="EJ32" s="61"/>
      <c r="EK32" s="61"/>
      <c r="EL32" s="61"/>
      <c r="EM32" s="61"/>
      <c r="EN32" s="61"/>
      <c r="EO32" s="61"/>
      <c r="EP32" s="61"/>
      <c r="EQ32" s="61"/>
      <c r="ER32" s="61"/>
      <c r="ES32" s="61"/>
      <c r="ET32" s="61"/>
      <c r="EU32" s="61"/>
      <c r="EV32" s="61"/>
      <c r="EW32" s="61"/>
      <c r="EX32" s="61"/>
      <c r="EY32" s="61"/>
      <c r="EZ32" s="61"/>
      <c r="FA32" s="61"/>
      <c r="FB32" s="61"/>
      <c r="FC32" s="61"/>
      <c r="FD32" s="61"/>
      <c r="FE32" s="61"/>
      <c r="FF32" s="61"/>
      <c r="FG32" s="61"/>
      <c r="FH32" s="61"/>
      <c r="FI32" s="61"/>
      <c r="FJ32" s="61"/>
      <c r="FK32" s="61"/>
      <c r="FL32" s="61"/>
      <c r="FM32" s="61"/>
      <c r="FN32" s="61"/>
      <c r="FO32" s="61"/>
      <c r="FP32" s="61"/>
      <c r="FQ32" s="61"/>
      <c r="FR32" s="61"/>
      <c r="FS32" s="61"/>
      <c r="FT32" s="61"/>
      <c r="FU32" s="61"/>
      <c r="FV32" s="61"/>
      <c r="FW32" s="61"/>
      <c r="FX32" s="61"/>
      <c r="FY32" s="61"/>
      <c r="FZ32" s="61"/>
      <c r="GA32" s="61"/>
      <c r="GB32" s="61"/>
      <c r="GC32" s="61"/>
      <c r="GD32" s="61"/>
      <c r="GE32" s="61"/>
      <c r="GF32" s="61"/>
      <c r="GG32" s="61"/>
      <c r="GH32" s="61"/>
      <c r="GI32" s="61"/>
      <c r="GJ32" s="61"/>
      <c r="GK32" s="61"/>
      <c r="GL32" s="61"/>
      <c r="GM32" s="61"/>
      <c r="GN32" s="61"/>
      <c r="GO32" s="61"/>
      <c r="GP32" s="61"/>
      <c r="GQ32" s="61"/>
      <c r="GR32" s="61"/>
      <c r="GS32" s="61"/>
      <c r="GT32" s="61"/>
      <c r="GU32" s="61"/>
      <c r="GV32" s="61"/>
      <c r="GW32" s="61"/>
      <c r="GX32" s="61"/>
      <c r="GY32" s="61"/>
      <c r="GZ32" s="61"/>
      <c r="HA32" s="61"/>
      <c r="HB32" s="61"/>
      <c r="HC32" s="61"/>
      <c r="HD32" s="61"/>
      <c r="HE32" s="61"/>
      <c r="HF32" s="61"/>
      <c r="HG32" s="61"/>
      <c r="HH32" s="61"/>
      <c r="HI32" s="61"/>
      <c r="HJ32" s="61"/>
      <c r="HK32" s="61"/>
      <c r="HL32" s="61"/>
      <c r="HM32" s="61"/>
      <c r="HN32" s="61"/>
      <c r="HO32" s="61"/>
      <c r="HP32" s="61"/>
      <c r="HQ32" s="61"/>
      <c r="HR32" s="61"/>
      <c r="HS32" s="61"/>
      <c r="HT32" s="61"/>
      <c r="HU32" s="61"/>
      <c r="HV32" s="61"/>
      <c r="HW32" s="61"/>
      <c r="HX32" s="61"/>
      <c r="HY32" s="61"/>
      <c r="HZ32" s="61"/>
      <c r="IA32" s="61"/>
      <c r="IB32" s="61"/>
      <c r="IC32" s="61"/>
      <c r="ID32" s="61"/>
      <c r="IE32" s="61"/>
      <c r="IF32" s="61"/>
      <c r="IG32" s="61"/>
      <c r="IH32" s="61"/>
      <c r="II32" s="61"/>
      <c r="IJ32" s="61"/>
      <c r="IK32" s="61"/>
      <c r="IL32" s="61"/>
      <c r="IM32" s="61"/>
      <c r="IN32" s="61"/>
      <c r="IO32" s="61"/>
      <c r="IP32" s="61"/>
      <c r="IQ32" s="61"/>
      <c r="IR32" s="61"/>
      <c r="IS32" s="61"/>
      <c r="IT32" s="61"/>
      <c r="IU32" s="61"/>
      <c r="IV32" s="61"/>
      <c r="IW32" s="61"/>
      <c r="IX32" s="61"/>
      <c r="IY32" s="61"/>
      <c r="IZ32" s="61"/>
    </row>
    <row r="33" spans="1:260" s="62" customFormat="1" ht="19.5" customHeight="1" x14ac:dyDescent="0.2">
      <c r="A33" s="78"/>
      <c r="B33" s="78"/>
      <c r="C33" s="78"/>
      <c r="D33" s="78"/>
      <c r="E33" s="128"/>
      <c r="F33" s="128"/>
      <c r="G33" s="128"/>
      <c r="H33" s="128"/>
      <c r="I33" s="128"/>
      <c r="J33" s="128"/>
      <c r="K33" s="128"/>
      <c r="L33" s="128"/>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c r="DA33" s="61"/>
      <c r="DB33" s="61"/>
      <c r="DC33" s="61"/>
      <c r="DD33" s="61"/>
      <c r="DE33" s="61"/>
      <c r="DF33" s="61"/>
      <c r="DG33" s="61"/>
      <c r="DH33" s="61"/>
      <c r="DI33" s="61"/>
      <c r="DJ33" s="61"/>
      <c r="DK33" s="61"/>
      <c r="DL33" s="61"/>
      <c r="DM33" s="61"/>
      <c r="DN33" s="61"/>
      <c r="DO33" s="61"/>
      <c r="DP33" s="61"/>
      <c r="DQ33" s="61"/>
      <c r="DR33" s="61"/>
      <c r="DS33" s="61"/>
      <c r="DT33" s="61"/>
      <c r="DU33" s="61"/>
      <c r="DV33" s="61"/>
      <c r="DW33" s="61"/>
      <c r="DX33" s="61"/>
      <c r="DY33" s="61"/>
      <c r="DZ33" s="61"/>
      <c r="EA33" s="61"/>
      <c r="EB33" s="61"/>
      <c r="EC33" s="61"/>
      <c r="ED33" s="61"/>
      <c r="EE33" s="61"/>
      <c r="EF33" s="61"/>
      <c r="EG33" s="61"/>
      <c r="EH33" s="61"/>
      <c r="EI33" s="61"/>
      <c r="EJ33" s="61"/>
      <c r="EK33" s="61"/>
      <c r="EL33" s="61"/>
      <c r="EM33" s="61"/>
      <c r="EN33" s="61"/>
      <c r="EO33" s="61"/>
      <c r="EP33" s="61"/>
      <c r="EQ33" s="61"/>
      <c r="ER33" s="61"/>
      <c r="ES33" s="61"/>
      <c r="ET33" s="61"/>
      <c r="EU33" s="61"/>
      <c r="EV33" s="61"/>
      <c r="EW33" s="61"/>
      <c r="EX33" s="61"/>
      <c r="EY33" s="61"/>
      <c r="EZ33" s="61"/>
      <c r="FA33" s="61"/>
      <c r="FB33" s="61"/>
      <c r="FC33" s="61"/>
      <c r="FD33" s="61"/>
      <c r="FE33" s="61"/>
      <c r="FF33" s="61"/>
      <c r="FG33" s="61"/>
      <c r="FH33" s="61"/>
      <c r="FI33" s="61"/>
      <c r="FJ33" s="61"/>
      <c r="FK33" s="61"/>
      <c r="FL33" s="61"/>
      <c r="FM33" s="61"/>
      <c r="FN33" s="61"/>
      <c r="FO33" s="61"/>
      <c r="FP33" s="61"/>
      <c r="FQ33" s="61"/>
      <c r="FR33" s="61"/>
      <c r="FS33" s="61"/>
      <c r="FT33" s="61"/>
      <c r="FU33" s="61"/>
      <c r="FV33" s="61"/>
      <c r="FW33" s="61"/>
      <c r="FX33" s="61"/>
      <c r="FY33" s="61"/>
      <c r="FZ33" s="61"/>
      <c r="GA33" s="61"/>
      <c r="GB33" s="61"/>
      <c r="GC33" s="61"/>
      <c r="GD33" s="61"/>
      <c r="GE33" s="61"/>
      <c r="GF33" s="61"/>
      <c r="GG33" s="61"/>
      <c r="GH33" s="61"/>
      <c r="GI33" s="61"/>
      <c r="GJ33" s="61"/>
      <c r="GK33" s="61"/>
      <c r="GL33" s="61"/>
      <c r="GM33" s="61"/>
      <c r="GN33" s="61"/>
      <c r="GO33" s="61"/>
      <c r="GP33" s="61"/>
      <c r="GQ33" s="61"/>
      <c r="GR33" s="61"/>
      <c r="GS33" s="61"/>
      <c r="GT33" s="61"/>
      <c r="GU33" s="61"/>
      <c r="GV33" s="61"/>
      <c r="GW33" s="61"/>
      <c r="GX33" s="61"/>
      <c r="GY33" s="61"/>
      <c r="GZ33" s="61"/>
      <c r="HA33" s="61"/>
      <c r="HB33" s="61"/>
      <c r="HC33" s="61"/>
      <c r="HD33" s="61"/>
      <c r="HE33" s="61"/>
      <c r="HF33" s="61"/>
      <c r="HG33" s="61"/>
      <c r="HH33" s="61"/>
      <c r="HI33" s="61"/>
      <c r="HJ33" s="61"/>
      <c r="HK33" s="61"/>
      <c r="HL33" s="61"/>
      <c r="HM33" s="61"/>
      <c r="HN33" s="61"/>
      <c r="HO33" s="61"/>
      <c r="HP33" s="61"/>
      <c r="HQ33" s="61"/>
      <c r="HR33" s="61"/>
      <c r="HS33" s="61"/>
      <c r="HT33" s="61"/>
      <c r="HU33" s="61"/>
      <c r="HV33" s="61"/>
      <c r="HW33" s="61"/>
      <c r="HX33" s="61"/>
      <c r="HY33" s="61"/>
      <c r="HZ33" s="61"/>
      <c r="IA33" s="61"/>
      <c r="IB33" s="61"/>
      <c r="IC33" s="61"/>
      <c r="ID33" s="61"/>
      <c r="IE33" s="61"/>
      <c r="IF33" s="61"/>
      <c r="IG33" s="61"/>
      <c r="IH33" s="61"/>
      <c r="II33" s="61"/>
      <c r="IJ33" s="61"/>
      <c r="IK33" s="61"/>
      <c r="IL33" s="61"/>
      <c r="IM33" s="61"/>
      <c r="IN33" s="61"/>
      <c r="IO33" s="61"/>
      <c r="IP33" s="61"/>
      <c r="IQ33" s="61"/>
      <c r="IR33" s="61"/>
      <c r="IS33" s="61"/>
      <c r="IT33" s="61"/>
      <c r="IU33" s="61"/>
      <c r="IV33" s="61"/>
      <c r="IW33" s="61"/>
      <c r="IX33" s="61"/>
      <c r="IY33" s="61"/>
      <c r="IZ33" s="61"/>
    </row>
    <row r="34" spans="1:260" s="62" customFormat="1" ht="19.5" customHeight="1" x14ac:dyDescent="0.2">
      <c r="A34" s="78"/>
      <c r="B34" s="78"/>
      <c r="C34" s="78"/>
      <c r="D34" s="78"/>
      <c r="E34" s="128"/>
      <c r="F34" s="128"/>
      <c r="G34" s="128"/>
      <c r="H34" s="128"/>
      <c r="I34" s="128"/>
      <c r="J34" s="128"/>
      <c r="K34" s="128"/>
      <c r="L34" s="128"/>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c r="DA34" s="61"/>
      <c r="DB34" s="61"/>
      <c r="DC34" s="61"/>
      <c r="DD34" s="61"/>
      <c r="DE34" s="61"/>
      <c r="DF34" s="61"/>
      <c r="DG34" s="61"/>
      <c r="DH34" s="61"/>
      <c r="DI34" s="61"/>
      <c r="DJ34" s="61"/>
      <c r="DK34" s="61"/>
      <c r="DL34" s="61"/>
      <c r="DM34" s="61"/>
      <c r="DN34" s="61"/>
      <c r="DO34" s="61"/>
      <c r="DP34" s="61"/>
      <c r="DQ34" s="61"/>
      <c r="DR34" s="61"/>
      <c r="DS34" s="61"/>
      <c r="DT34" s="61"/>
      <c r="DU34" s="61"/>
      <c r="DV34" s="61"/>
      <c r="DW34" s="61"/>
      <c r="DX34" s="61"/>
      <c r="DY34" s="61"/>
      <c r="DZ34" s="61"/>
      <c r="EA34" s="61"/>
      <c r="EB34" s="61"/>
      <c r="EC34" s="61"/>
      <c r="ED34" s="61"/>
      <c r="EE34" s="61"/>
      <c r="EF34" s="61"/>
      <c r="EG34" s="61"/>
      <c r="EH34" s="61"/>
      <c r="EI34" s="61"/>
      <c r="EJ34" s="61"/>
      <c r="EK34" s="61"/>
      <c r="EL34" s="61"/>
      <c r="EM34" s="61"/>
      <c r="EN34" s="61"/>
      <c r="EO34" s="61"/>
      <c r="EP34" s="61"/>
      <c r="EQ34" s="61"/>
      <c r="ER34" s="61"/>
      <c r="ES34" s="61"/>
      <c r="ET34" s="61"/>
      <c r="EU34" s="61"/>
      <c r="EV34" s="61"/>
      <c r="EW34" s="61"/>
      <c r="EX34" s="61"/>
      <c r="EY34" s="61"/>
      <c r="EZ34" s="61"/>
      <c r="FA34" s="61"/>
      <c r="FB34" s="61"/>
      <c r="FC34" s="61"/>
      <c r="FD34" s="61"/>
      <c r="FE34" s="61"/>
      <c r="FF34" s="61"/>
      <c r="FG34" s="61"/>
      <c r="FH34" s="61"/>
      <c r="FI34" s="61"/>
      <c r="FJ34" s="61"/>
      <c r="FK34" s="61"/>
      <c r="FL34" s="61"/>
      <c r="FM34" s="61"/>
      <c r="FN34" s="61"/>
      <c r="FO34" s="61"/>
      <c r="FP34" s="61"/>
      <c r="FQ34" s="61"/>
      <c r="FR34" s="61"/>
      <c r="FS34" s="61"/>
      <c r="FT34" s="61"/>
      <c r="FU34" s="61"/>
      <c r="FV34" s="61"/>
      <c r="FW34" s="61"/>
      <c r="FX34" s="61"/>
      <c r="FY34" s="61"/>
      <c r="FZ34" s="61"/>
      <c r="GA34" s="61"/>
      <c r="GB34" s="61"/>
      <c r="GC34" s="61"/>
      <c r="GD34" s="61"/>
      <c r="GE34" s="61"/>
      <c r="GF34" s="61"/>
      <c r="GG34" s="61"/>
      <c r="GH34" s="61"/>
      <c r="GI34" s="61"/>
      <c r="GJ34" s="61"/>
      <c r="GK34" s="61"/>
      <c r="GL34" s="61"/>
      <c r="GM34" s="61"/>
      <c r="GN34" s="61"/>
      <c r="GO34" s="61"/>
      <c r="GP34" s="61"/>
      <c r="GQ34" s="61"/>
      <c r="GR34" s="61"/>
      <c r="GS34" s="61"/>
      <c r="GT34" s="61"/>
      <c r="GU34" s="61"/>
      <c r="GV34" s="61"/>
      <c r="GW34" s="61"/>
      <c r="GX34" s="61"/>
      <c r="GY34" s="61"/>
      <c r="GZ34" s="61"/>
      <c r="HA34" s="61"/>
      <c r="HB34" s="61"/>
      <c r="HC34" s="61"/>
      <c r="HD34" s="61"/>
      <c r="HE34" s="61"/>
      <c r="HF34" s="61"/>
      <c r="HG34" s="61"/>
      <c r="HH34" s="61"/>
      <c r="HI34" s="61"/>
      <c r="HJ34" s="61"/>
      <c r="HK34" s="61"/>
      <c r="HL34" s="61"/>
      <c r="HM34" s="61"/>
      <c r="HN34" s="61"/>
      <c r="HO34" s="61"/>
      <c r="HP34" s="61"/>
      <c r="HQ34" s="61"/>
      <c r="HR34" s="61"/>
      <c r="HS34" s="61"/>
      <c r="HT34" s="61"/>
      <c r="HU34" s="61"/>
      <c r="HV34" s="61"/>
      <c r="HW34" s="61"/>
      <c r="HX34" s="61"/>
      <c r="HY34" s="61"/>
      <c r="HZ34" s="61"/>
      <c r="IA34" s="61"/>
      <c r="IB34" s="61"/>
      <c r="IC34" s="61"/>
      <c r="ID34" s="61"/>
      <c r="IE34" s="61"/>
      <c r="IF34" s="61"/>
      <c r="IG34" s="61"/>
      <c r="IH34" s="61"/>
      <c r="II34" s="61"/>
      <c r="IJ34" s="61"/>
      <c r="IK34" s="61"/>
      <c r="IL34" s="61"/>
      <c r="IM34" s="61"/>
      <c r="IN34" s="61"/>
      <c r="IO34" s="61"/>
      <c r="IP34" s="61"/>
      <c r="IQ34" s="61"/>
      <c r="IR34" s="61"/>
      <c r="IS34" s="61"/>
      <c r="IT34" s="61"/>
      <c r="IU34" s="61"/>
      <c r="IV34" s="61"/>
      <c r="IW34" s="61"/>
      <c r="IX34" s="61"/>
      <c r="IY34" s="61"/>
      <c r="IZ34" s="61"/>
    </row>
    <row r="35" spans="1:260" s="62" customFormat="1" ht="19.5" customHeight="1" x14ac:dyDescent="0.2">
      <c r="A35" s="78"/>
      <c r="B35" s="78"/>
      <c r="C35" s="78"/>
      <c r="D35" s="78"/>
      <c r="E35" s="128"/>
      <c r="F35" s="128"/>
      <c r="G35" s="128"/>
      <c r="H35" s="128"/>
      <c r="I35" s="128"/>
      <c r="J35" s="129"/>
      <c r="K35" s="130"/>
      <c r="L35" s="13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1"/>
      <c r="CG35" s="61"/>
      <c r="CH35" s="61"/>
      <c r="CI35" s="61"/>
      <c r="CJ35" s="61"/>
      <c r="CK35" s="61"/>
      <c r="CL35" s="61"/>
      <c r="CM35" s="61"/>
      <c r="CN35" s="61"/>
      <c r="CO35" s="61"/>
      <c r="CP35" s="61"/>
      <c r="CQ35" s="61"/>
      <c r="CR35" s="61"/>
      <c r="CS35" s="61"/>
      <c r="CT35" s="61"/>
      <c r="CU35" s="61"/>
      <c r="CV35" s="61"/>
      <c r="CW35" s="61"/>
      <c r="CX35" s="61"/>
      <c r="CY35" s="61"/>
      <c r="CZ35" s="61"/>
      <c r="DA35" s="61"/>
      <c r="DB35" s="61"/>
      <c r="DC35" s="61"/>
      <c r="DD35" s="61"/>
      <c r="DE35" s="61"/>
      <c r="DF35" s="61"/>
      <c r="DG35" s="61"/>
      <c r="DH35" s="61"/>
      <c r="DI35" s="61"/>
      <c r="DJ35" s="61"/>
      <c r="DK35" s="61"/>
      <c r="DL35" s="61"/>
      <c r="DM35" s="61"/>
      <c r="DN35" s="61"/>
      <c r="DO35" s="61"/>
      <c r="DP35" s="61"/>
      <c r="DQ35" s="61"/>
      <c r="DR35" s="61"/>
      <c r="DS35" s="61"/>
      <c r="DT35" s="61"/>
      <c r="DU35" s="61"/>
      <c r="DV35" s="61"/>
      <c r="DW35" s="61"/>
      <c r="DX35" s="61"/>
      <c r="DY35" s="61"/>
      <c r="DZ35" s="61"/>
      <c r="EA35" s="61"/>
      <c r="EB35" s="61"/>
      <c r="EC35" s="61"/>
      <c r="ED35" s="61"/>
      <c r="EE35" s="61"/>
      <c r="EF35" s="61"/>
      <c r="EG35" s="61"/>
      <c r="EH35" s="61"/>
      <c r="EI35" s="61"/>
      <c r="EJ35" s="61"/>
      <c r="EK35" s="61"/>
      <c r="EL35" s="61"/>
      <c r="EM35" s="61"/>
      <c r="EN35" s="61"/>
      <c r="EO35" s="61"/>
      <c r="EP35" s="61"/>
      <c r="EQ35" s="61"/>
      <c r="ER35" s="61"/>
      <c r="ES35" s="61"/>
      <c r="ET35" s="61"/>
      <c r="EU35" s="61"/>
      <c r="EV35" s="61"/>
      <c r="EW35" s="61"/>
      <c r="EX35" s="61"/>
      <c r="EY35" s="61"/>
      <c r="EZ35" s="61"/>
      <c r="FA35" s="61"/>
      <c r="FB35" s="61"/>
      <c r="FC35" s="61"/>
      <c r="FD35" s="61"/>
      <c r="FE35" s="61"/>
      <c r="FF35" s="61"/>
      <c r="FG35" s="61"/>
      <c r="FH35" s="61"/>
      <c r="FI35" s="61"/>
      <c r="FJ35" s="61"/>
      <c r="FK35" s="61"/>
      <c r="FL35" s="61"/>
      <c r="FM35" s="61"/>
      <c r="FN35" s="61"/>
      <c r="FO35" s="61"/>
      <c r="FP35" s="61"/>
      <c r="FQ35" s="61"/>
      <c r="FR35" s="61"/>
      <c r="FS35" s="61"/>
      <c r="FT35" s="61"/>
      <c r="FU35" s="61"/>
      <c r="FV35" s="61"/>
      <c r="FW35" s="61"/>
      <c r="FX35" s="61"/>
      <c r="FY35" s="61"/>
      <c r="FZ35" s="61"/>
      <c r="GA35" s="61"/>
      <c r="GB35" s="61"/>
      <c r="GC35" s="61"/>
      <c r="GD35" s="61"/>
      <c r="GE35" s="61"/>
      <c r="GF35" s="61"/>
      <c r="GG35" s="61"/>
      <c r="GH35" s="61"/>
      <c r="GI35" s="61"/>
      <c r="GJ35" s="61"/>
      <c r="GK35" s="61"/>
      <c r="GL35" s="61"/>
      <c r="GM35" s="61"/>
      <c r="GN35" s="61"/>
      <c r="GO35" s="61"/>
      <c r="GP35" s="61"/>
      <c r="GQ35" s="61"/>
      <c r="GR35" s="61"/>
      <c r="GS35" s="61"/>
      <c r="GT35" s="61"/>
      <c r="GU35" s="61"/>
      <c r="GV35" s="61"/>
      <c r="GW35" s="61"/>
      <c r="GX35" s="61"/>
      <c r="GY35" s="61"/>
      <c r="GZ35" s="61"/>
      <c r="HA35" s="61"/>
      <c r="HB35" s="61"/>
      <c r="HC35" s="61"/>
      <c r="HD35" s="61"/>
      <c r="HE35" s="61"/>
      <c r="HF35" s="61"/>
      <c r="HG35" s="61"/>
      <c r="HH35" s="61"/>
      <c r="HI35" s="61"/>
      <c r="HJ35" s="61"/>
      <c r="HK35" s="61"/>
      <c r="HL35" s="61"/>
      <c r="HM35" s="61"/>
      <c r="HN35" s="61"/>
      <c r="HO35" s="61"/>
      <c r="HP35" s="61"/>
      <c r="HQ35" s="61"/>
      <c r="HR35" s="61"/>
      <c r="HS35" s="61"/>
      <c r="HT35" s="61"/>
      <c r="HU35" s="61"/>
      <c r="HV35" s="61"/>
      <c r="HW35" s="61"/>
      <c r="HX35" s="61"/>
      <c r="HY35" s="61"/>
      <c r="HZ35" s="61"/>
      <c r="IA35" s="61"/>
      <c r="IB35" s="61"/>
      <c r="IC35" s="61"/>
      <c r="ID35" s="61"/>
      <c r="IE35" s="61"/>
      <c r="IF35" s="61"/>
      <c r="IG35" s="61"/>
      <c r="IH35" s="61"/>
      <c r="II35" s="61"/>
      <c r="IJ35" s="61"/>
      <c r="IK35" s="61"/>
      <c r="IL35" s="61"/>
      <c r="IM35" s="61"/>
      <c r="IN35" s="61"/>
      <c r="IO35" s="61"/>
      <c r="IP35" s="61"/>
      <c r="IQ35" s="61"/>
      <c r="IR35" s="61"/>
      <c r="IS35" s="61"/>
      <c r="IT35" s="61"/>
      <c r="IU35" s="61"/>
      <c r="IV35" s="61"/>
      <c r="IW35" s="61"/>
      <c r="IX35" s="61"/>
      <c r="IY35" s="61"/>
      <c r="IZ35" s="61"/>
    </row>
    <row r="36" spans="1:260" s="62" customFormat="1" ht="19.5" customHeight="1" x14ac:dyDescent="0.2">
      <c r="A36" s="78"/>
      <c r="B36" s="78"/>
      <c r="C36" s="78"/>
      <c r="D36" s="78"/>
      <c r="E36" s="128"/>
      <c r="F36" s="128"/>
      <c r="G36" s="128"/>
      <c r="H36" s="128"/>
      <c r="I36" s="128"/>
      <c r="J36" s="129"/>
      <c r="K36" s="130"/>
      <c r="L36" s="13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c r="DA36" s="61"/>
      <c r="DB36" s="61"/>
      <c r="DC36" s="61"/>
      <c r="DD36" s="61"/>
      <c r="DE36" s="61"/>
      <c r="DF36" s="61"/>
      <c r="DG36" s="61"/>
      <c r="DH36" s="61"/>
      <c r="DI36" s="61"/>
      <c r="DJ36" s="61"/>
      <c r="DK36" s="61"/>
      <c r="DL36" s="61"/>
      <c r="DM36" s="61"/>
      <c r="DN36" s="61"/>
      <c r="DO36" s="61"/>
      <c r="DP36" s="61"/>
      <c r="DQ36" s="61"/>
      <c r="DR36" s="61"/>
      <c r="DS36" s="61"/>
      <c r="DT36" s="61"/>
      <c r="DU36" s="61"/>
      <c r="DV36" s="61"/>
      <c r="DW36" s="61"/>
      <c r="DX36" s="61"/>
      <c r="DY36" s="61"/>
      <c r="DZ36" s="61"/>
      <c r="EA36" s="61"/>
      <c r="EB36" s="61"/>
      <c r="EC36" s="61"/>
      <c r="ED36" s="61"/>
      <c r="EE36" s="61"/>
      <c r="EF36" s="61"/>
      <c r="EG36" s="61"/>
      <c r="EH36" s="61"/>
      <c r="EI36" s="61"/>
      <c r="EJ36" s="61"/>
      <c r="EK36" s="61"/>
      <c r="EL36" s="61"/>
      <c r="EM36" s="61"/>
      <c r="EN36" s="61"/>
      <c r="EO36" s="61"/>
      <c r="EP36" s="61"/>
      <c r="EQ36" s="61"/>
      <c r="ER36" s="61"/>
      <c r="ES36" s="61"/>
      <c r="ET36" s="61"/>
      <c r="EU36" s="61"/>
      <c r="EV36" s="61"/>
      <c r="EW36" s="61"/>
      <c r="EX36" s="61"/>
      <c r="EY36" s="61"/>
      <c r="EZ36" s="61"/>
      <c r="FA36" s="61"/>
      <c r="FB36" s="61"/>
      <c r="FC36" s="61"/>
      <c r="FD36" s="61"/>
      <c r="FE36" s="61"/>
      <c r="FF36" s="61"/>
      <c r="FG36" s="61"/>
      <c r="FH36" s="61"/>
      <c r="FI36" s="61"/>
      <c r="FJ36" s="61"/>
      <c r="FK36" s="61"/>
      <c r="FL36" s="61"/>
      <c r="FM36" s="61"/>
      <c r="FN36" s="61"/>
      <c r="FO36" s="61"/>
      <c r="FP36" s="61"/>
      <c r="FQ36" s="61"/>
      <c r="FR36" s="61"/>
      <c r="FS36" s="61"/>
      <c r="FT36" s="61"/>
      <c r="FU36" s="61"/>
      <c r="FV36" s="61"/>
      <c r="FW36" s="61"/>
      <c r="FX36" s="61"/>
      <c r="FY36" s="61"/>
      <c r="FZ36" s="61"/>
      <c r="GA36" s="61"/>
      <c r="GB36" s="61"/>
      <c r="GC36" s="61"/>
      <c r="GD36" s="61"/>
      <c r="GE36" s="61"/>
      <c r="GF36" s="61"/>
      <c r="GG36" s="61"/>
      <c r="GH36" s="61"/>
      <c r="GI36" s="61"/>
      <c r="GJ36" s="61"/>
      <c r="GK36" s="61"/>
      <c r="GL36" s="61"/>
      <c r="GM36" s="61"/>
      <c r="GN36" s="61"/>
      <c r="GO36" s="61"/>
      <c r="GP36" s="61"/>
      <c r="GQ36" s="61"/>
      <c r="GR36" s="61"/>
      <c r="GS36" s="61"/>
      <c r="GT36" s="61"/>
      <c r="GU36" s="61"/>
      <c r="GV36" s="61"/>
      <c r="GW36" s="61"/>
      <c r="GX36" s="61"/>
      <c r="GY36" s="61"/>
      <c r="GZ36" s="61"/>
      <c r="HA36" s="61"/>
      <c r="HB36" s="61"/>
      <c r="HC36" s="61"/>
      <c r="HD36" s="61"/>
      <c r="HE36" s="61"/>
      <c r="HF36" s="61"/>
      <c r="HG36" s="61"/>
      <c r="HH36" s="61"/>
      <c r="HI36" s="61"/>
      <c r="HJ36" s="61"/>
      <c r="HK36" s="61"/>
      <c r="HL36" s="61"/>
      <c r="HM36" s="61"/>
      <c r="HN36" s="61"/>
      <c r="HO36" s="61"/>
      <c r="HP36" s="61"/>
      <c r="HQ36" s="61"/>
      <c r="HR36" s="61"/>
      <c r="HS36" s="61"/>
      <c r="HT36" s="61"/>
      <c r="HU36" s="61"/>
      <c r="HV36" s="61"/>
      <c r="HW36" s="61"/>
      <c r="HX36" s="61"/>
      <c r="HY36" s="61"/>
      <c r="HZ36" s="61"/>
      <c r="IA36" s="61"/>
      <c r="IB36" s="61"/>
      <c r="IC36" s="61"/>
      <c r="ID36" s="61"/>
      <c r="IE36" s="61"/>
      <c r="IF36" s="61"/>
      <c r="IG36" s="61"/>
      <c r="IH36" s="61"/>
      <c r="II36" s="61"/>
      <c r="IJ36" s="61"/>
      <c r="IK36" s="61"/>
      <c r="IL36" s="61"/>
      <c r="IM36" s="61"/>
      <c r="IN36" s="61"/>
      <c r="IO36" s="61"/>
      <c r="IP36" s="61"/>
      <c r="IQ36" s="61"/>
      <c r="IR36" s="61"/>
      <c r="IS36" s="61"/>
      <c r="IT36" s="61"/>
      <c r="IU36" s="61"/>
      <c r="IV36" s="61"/>
      <c r="IW36" s="61"/>
      <c r="IX36" s="61"/>
      <c r="IY36" s="61"/>
      <c r="IZ36" s="61"/>
    </row>
    <row r="37" spans="1:260" s="62" customFormat="1" ht="19.5" customHeight="1" x14ac:dyDescent="0.2">
      <c r="A37" s="78"/>
      <c r="B37" s="78"/>
      <c r="C37" s="78"/>
      <c r="D37" s="78"/>
      <c r="E37" s="149" t="s">
        <v>614</v>
      </c>
      <c r="F37" s="149"/>
      <c r="G37" s="149"/>
      <c r="H37" s="149"/>
      <c r="I37" s="149"/>
      <c r="J37" s="149"/>
      <c r="K37" s="149"/>
      <c r="L37" s="149"/>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c r="DA37" s="61"/>
      <c r="DB37" s="61"/>
      <c r="DC37" s="61"/>
      <c r="DD37" s="61"/>
      <c r="DE37" s="61"/>
      <c r="DF37" s="61"/>
      <c r="DG37" s="61"/>
      <c r="DH37" s="61"/>
      <c r="DI37" s="61"/>
      <c r="DJ37" s="61"/>
      <c r="DK37" s="61"/>
      <c r="DL37" s="61"/>
      <c r="DM37" s="61"/>
      <c r="DN37" s="61"/>
      <c r="DO37" s="61"/>
      <c r="DP37" s="61"/>
      <c r="DQ37" s="61"/>
      <c r="DR37" s="61"/>
      <c r="DS37" s="61"/>
      <c r="DT37" s="61"/>
      <c r="DU37" s="61"/>
      <c r="DV37" s="61"/>
      <c r="DW37" s="61"/>
      <c r="DX37" s="61"/>
      <c r="DY37" s="61"/>
      <c r="DZ37" s="61"/>
      <c r="EA37" s="61"/>
      <c r="EB37" s="61"/>
      <c r="EC37" s="61"/>
      <c r="ED37" s="61"/>
      <c r="EE37" s="61"/>
      <c r="EF37" s="61"/>
      <c r="EG37" s="61"/>
      <c r="EH37" s="61"/>
      <c r="EI37" s="61"/>
      <c r="EJ37" s="61"/>
      <c r="EK37" s="61"/>
      <c r="EL37" s="61"/>
      <c r="EM37" s="61"/>
      <c r="EN37" s="61"/>
      <c r="EO37" s="61"/>
      <c r="EP37" s="61"/>
      <c r="EQ37" s="61"/>
      <c r="ER37" s="61"/>
      <c r="ES37" s="61"/>
      <c r="ET37" s="61"/>
      <c r="EU37" s="61"/>
      <c r="EV37" s="61"/>
      <c r="EW37" s="61"/>
      <c r="EX37" s="61"/>
      <c r="EY37" s="61"/>
      <c r="EZ37" s="61"/>
      <c r="FA37" s="61"/>
      <c r="FB37" s="61"/>
      <c r="FC37" s="61"/>
      <c r="FD37" s="61"/>
      <c r="FE37" s="61"/>
      <c r="FF37" s="61"/>
      <c r="FG37" s="61"/>
      <c r="FH37" s="61"/>
      <c r="FI37" s="61"/>
      <c r="FJ37" s="61"/>
      <c r="FK37" s="61"/>
      <c r="FL37" s="61"/>
      <c r="FM37" s="61"/>
      <c r="FN37" s="61"/>
      <c r="FO37" s="61"/>
      <c r="FP37" s="61"/>
      <c r="FQ37" s="61"/>
      <c r="FR37" s="61"/>
      <c r="FS37" s="61"/>
      <c r="FT37" s="61"/>
      <c r="FU37" s="61"/>
      <c r="FV37" s="61"/>
      <c r="FW37" s="61"/>
      <c r="FX37" s="61"/>
      <c r="FY37" s="61"/>
      <c r="FZ37" s="61"/>
      <c r="GA37" s="61"/>
      <c r="GB37" s="61"/>
      <c r="GC37" s="61"/>
      <c r="GD37" s="61"/>
      <c r="GE37" s="61"/>
      <c r="GF37" s="61"/>
      <c r="GG37" s="61"/>
      <c r="GH37" s="61"/>
      <c r="GI37" s="61"/>
      <c r="GJ37" s="61"/>
      <c r="GK37" s="61"/>
      <c r="GL37" s="61"/>
      <c r="GM37" s="61"/>
      <c r="GN37" s="61"/>
      <c r="GO37" s="61"/>
      <c r="GP37" s="61"/>
      <c r="GQ37" s="61"/>
      <c r="GR37" s="61"/>
      <c r="GS37" s="61"/>
      <c r="GT37" s="61"/>
      <c r="GU37" s="61"/>
      <c r="GV37" s="61"/>
      <c r="GW37" s="61"/>
      <c r="GX37" s="61"/>
      <c r="GY37" s="61"/>
      <c r="GZ37" s="61"/>
      <c r="HA37" s="61"/>
      <c r="HB37" s="61"/>
      <c r="HC37" s="61"/>
      <c r="HD37" s="61"/>
      <c r="HE37" s="61"/>
      <c r="HF37" s="61"/>
      <c r="HG37" s="61"/>
      <c r="HH37" s="61"/>
      <c r="HI37" s="61"/>
      <c r="HJ37" s="61"/>
      <c r="HK37" s="61"/>
      <c r="HL37" s="61"/>
      <c r="HM37" s="61"/>
      <c r="HN37" s="61"/>
      <c r="HO37" s="61"/>
      <c r="HP37" s="61"/>
      <c r="HQ37" s="61"/>
      <c r="HR37" s="61"/>
      <c r="HS37" s="61"/>
      <c r="HT37" s="61"/>
      <c r="HU37" s="61"/>
      <c r="HV37" s="61"/>
      <c r="HW37" s="61"/>
      <c r="HX37" s="61"/>
      <c r="HY37" s="61"/>
      <c r="HZ37" s="61"/>
      <c r="IA37" s="61"/>
      <c r="IB37" s="61"/>
      <c r="IC37" s="61"/>
      <c r="ID37" s="61"/>
      <c r="IE37" s="61"/>
      <c r="IF37" s="61"/>
      <c r="IG37" s="61"/>
      <c r="IH37" s="61"/>
      <c r="II37" s="61"/>
      <c r="IJ37" s="61"/>
      <c r="IK37" s="61"/>
      <c r="IL37" s="61"/>
      <c r="IM37" s="61"/>
      <c r="IN37" s="61"/>
      <c r="IO37" s="61"/>
      <c r="IP37" s="61"/>
      <c r="IQ37" s="61"/>
      <c r="IR37" s="61"/>
      <c r="IS37" s="61"/>
      <c r="IT37" s="61"/>
      <c r="IU37" s="61"/>
      <c r="IV37" s="61"/>
      <c r="IW37" s="61"/>
      <c r="IX37" s="61"/>
      <c r="IY37" s="61"/>
      <c r="IZ37" s="61"/>
    </row>
    <row r="38" spans="1:260" s="62" customFormat="1" ht="15" customHeight="1" x14ac:dyDescent="0.2">
      <c r="A38" s="78"/>
      <c r="B38" s="78"/>
      <c r="C38" s="78"/>
      <c r="D38" s="78"/>
      <c r="E38" s="93"/>
      <c r="F38" s="93"/>
      <c r="G38" s="93"/>
      <c r="H38" s="93"/>
      <c r="I38" s="93"/>
      <c r="J38" s="93"/>
      <c r="K38" s="93"/>
      <c r="L38" s="93"/>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c r="DA38" s="61"/>
      <c r="DB38" s="61"/>
      <c r="DC38" s="61"/>
      <c r="DD38" s="61"/>
      <c r="DE38" s="61"/>
      <c r="DF38" s="61"/>
      <c r="DG38" s="61"/>
      <c r="DH38" s="61"/>
      <c r="DI38" s="61"/>
      <c r="DJ38" s="61"/>
      <c r="DK38" s="61"/>
      <c r="DL38" s="61"/>
      <c r="DM38" s="61"/>
      <c r="DN38" s="61"/>
      <c r="DO38" s="61"/>
      <c r="DP38" s="61"/>
      <c r="DQ38" s="61"/>
      <c r="DR38" s="61"/>
      <c r="DS38" s="61"/>
      <c r="DT38" s="61"/>
      <c r="DU38" s="61"/>
      <c r="DV38" s="61"/>
      <c r="DW38" s="61"/>
      <c r="DX38" s="61"/>
      <c r="DY38" s="61"/>
      <c r="DZ38" s="61"/>
      <c r="EA38" s="61"/>
      <c r="EB38" s="61"/>
      <c r="EC38" s="61"/>
      <c r="ED38" s="61"/>
      <c r="EE38" s="61"/>
      <c r="EF38" s="61"/>
      <c r="EG38" s="61"/>
      <c r="EH38" s="61"/>
      <c r="EI38" s="61"/>
      <c r="EJ38" s="61"/>
      <c r="EK38" s="61"/>
      <c r="EL38" s="61"/>
      <c r="EM38" s="61"/>
      <c r="EN38" s="61"/>
      <c r="EO38" s="61"/>
      <c r="EP38" s="61"/>
      <c r="EQ38" s="61"/>
      <c r="ER38" s="61"/>
      <c r="ES38" s="61"/>
      <c r="ET38" s="61"/>
      <c r="EU38" s="61"/>
      <c r="EV38" s="61"/>
      <c r="EW38" s="61"/>
      <c r="EX38" s="61"/>
      <c r="EY38" s="61"/>
      <c r="EZ38" s="61"/>
      <c r="FA38" s="61"/>
      <c r="FB38" s="61"/>
      <c r="FC38" s="61"/>
      <c r="FD38" s="61"/>
      <c r="FE38" s="61"/>
      <c r="FF38" s="61"/>
      <c r="FG38" s="61"/>
      <c r="FH38" s="61"/>
      <c r="FI38" s="61"/>
      <c r="FJ38" s="61"/>
      <c r="FK38" s="61"/>
      <c r="FL38" s="61"/>
      <c r="FM38" s="61"/>
      <c r="FN38" s="61"/>
      <c r="FO38" s="61"/>
      <c r="FP38" s="61"/>
      <c r="FQ38" s="61"/>
      <c r="FR38" s="61"/>
      <c r="FS38" s="61"/>
      <c r="FT38" s="61"/>
      <c r="FU38" s="61"/>
      <c r="FV38" s="61"/>
      <c r="FW38" s="61"/>
      <c r="FX38" s="61"/>
      <c r="FY38" s="61"/>
      <c r="FZ38" s="61"/>
      <c r="GA38" s="61"/>
      <c r="GB38" s="61"/>
      <c r="GC38" s="61"/>
      <c r="GD38" s="61"/>
      <c r="GE38" s="61"/>
      <c r="GF38" s="61"/>
      <c r="GG38" s="61"/>
      <c r="GH38" s="61"/>
      <c r="GI38" s="61"/>
      <c r="GJ38" s="61"/>
      <c r="GK38" s="61"/>
      <c r="GL38" s="61"/>
      <c r="GM38" s="61"/>
      <c r="GN38" s="61"/>
      <c r="GO38" s="61"/>
      <c r="GP38" s="61"/>
      <c r="GQ38" s="61"/>
      <c r="GR38" s="61"/>
      <c r="GS38" s="61"/>
      <c r="GT38" s="61"/>
      <c r="GU38" s="61"/>
      <c r="GV38" s="61"/>
      <c r="GW38" s="61"/>
      <c r="GX38" s="61"/>
      <c r="GY38" s="61"/>
      <c r="GZ38" s="61"/>
      <c r="HA38" s="61"/>
      <c r="HB38" s="61"/>
      <c r="HC38" s="61"/>
      <c r="HD38" s="61"/>
      <c r="HE38" s="61"/>
      <c r="HF38" s="61"/>
      <c r="HG38" s="61"/>
      <c r="HH38" s="61"/>
      <c r="HI38" s="61"/>
      <c r="HJ38" s="61"/>
      <c r="HK38" s="61"/>
      <c r="HL38" s="61"/>
      <c r="HM38" s="61"/>
      <c r="HN38" s="61"/>
      <c r="HO38" s="61"/>
      <c r="HP38" s="61"/>
      <c r="HQ38" s="61"/>
      <c r="HR38" s="61"/>
      <c r="HS38" s="61"/>
      <c r="HT38" s="61"/>
      <c r="HU38" s="61"/>
      <c r="HV38" s="61"/>
      <c r="HW38" s="61"/>
      <c r="HX38" s="61"/>
      <c r="HY38" s="61"/>
      <c r="HZ38" s="61"/>
      <c r="IA38" s="61"/>
      <c r="IB38" s="61"/>
      <c r="IC38" s="61"/>
      <c r="ID38" s="61"/>
      <c r="IE38" s="61"/>
      <c r="IF38" s="61"/>
      <c r="IG38" s="61"/>
      <c r="IH38" s="61"/>
      <c r="II38" s="61"/>
      <c r="IJ38" s="61"/>
      <c r="IK38" s="61"/>
      <c r="IL38" s="61"/>
      <c r="IM38" s="61"/>
      <c r="IN38" s="61"/>
      <c r="IO38" s="61"/>
      <c r="IP38" s="61"/>
      <c r="IQ38" s="61"/>
      <c r="IR38" s="61"/>
      <c r="IS38" s="61"/>
      <c r="IT38" s="61"/>
      <c r="IU38" s="61"/>
      <c r="IV38" s="61"/>
      <c r="IW38" s="61"/>
      <c r="IX38" s="61"/>
      <c r="IY38" s="61"/>
      <c r="IZ38" s="61"/>
    </row>
    <row r="39" spans="1:260" s="62" customFormat="1" ht="15" customHeight="1" x14ac:dyDescent="0.2">
      <c r="A39" s="78"/>
      <c r="B39" s="78"/>
      <c r="C39" s="78"/>
      <c r="D39" s="78"/>
      <c r="E39" s="93"/>
      <c r="F39" s="93"/>
      <c r="G39" s="93"/>
      <c r="H39" s="93"/>
      <c r="I39" s="93"/>
      <c r="J39" s="93"/>
      <c r="K39" s="93"/>
      <c r="L39" s="93"/>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c r="DH39" s="61"/>
      <c r="DI39" s="61"/>
      <c r="DJ39" s="61"/>
      <c r="DK39" s="61"/>
      <c r="DL39" s="61"/>
      <c r="DM39" s="61"/>
      <c r="DN39" s="61"/>
      <c r="DO39" s="61"/>
      <c r="DP39" s="61"/>
      <c r="DQ39" s="61"/>
      <c r="DR39" s="61"/>
      <c r="DS39" s="61"/>
      <c r="DT39" s="61"/>
      <c r="DU39" s="61"/>
      <c r="DV39" s="61"/>
      <c r="DW39" s="61"/>
      <c r="DX39" s="61"/>
      <c r="DY39" s="61"/>
      <c r="DZ39" s="61"/>
      <c r="EA39" s="61"/>
      <c r="EB39" s="61"/>
      <c r="EC39" s="61"/>
      <c r="ED39" s="61"/>
      <c r="EE39" s="61"/>
      <c r="EF39" s="61"/>
      <c r="EG39" s="61"/>
      <c r="EH39" s="61"/>
      <c r="EI39" s="61"/>
      <c r="EJ39" s="61"/>
      <c r="EK39" s="61"/>
      <c r="EL39" s="61"/>
      <c r="EM39" s="61"/>
      <c r="EN39" s="61"/>
      <c r="EO39" s="61"/>
      <c r="EP39" s="61"/>
      <c r="EQ39" s="61"/>
      <c r="ER39" s="61"/>
      <c r="ES39" s="61"/>
      <c r="ET39" s="61"/>
      <c r="EU39" s="61"/>
      <c r="EV39" s="61"/>
      <c r="EW39" s="61"/>
      <c r="EX39" s="61"/>
      <c r="EY39" s="61"/>
      <c r="EZ39" s="61"/>
      <c r="FA39" s="61"/>
      <c r="FB39" s="61"/>
      <c r="FC39" s="61"/>
      <c r="FD39" s="61"/>
      <c r="FE39" s="61"/>
      <c r="FF39" s="61"/>
      <c r="FG39" s="61"/>
      <c r="FH39" s="61"/>
      <c r="FI39" s="61"/>
      <c r="FJ39" s="61"/>
      <c r="FK39" s="61"/>
      <c r="FL39" s="61"/>
      <c r="FM39" s="61"/>
      <c r="FN39" s="61"/>
      <c r="FO39" s="61"/>
      <c r="FP39" s="61"/>
      <c r="FQ39" s="61"/>
      <c r="FR39" s="61"/>
      <c r="FS39" s="61"/>
      <c r="FT39" s="61"/>
      <c r="FU39" s="61"/>
      <c r="FV39" s="61"/>
      <c r="FW39" s="61"/>
      <c r="FX39" s="61"/>
      <c r="FY39" s="61"/>
      <c r="FZ39" s="61"/>
      <c r="GA39" s="61"/>
      <c r="GB39" s="61"/>
      <c r="GC39" s="61"/>
      <c r="GD39" s="61"/>
      <c r="GE39" s="61"/>
      <c r="GF39" s="61"/>
      <c r="GG39" s="61"/>
      <c r="GH39" s="61"/>
      <c r="GI39" s="61"/>
      <c r="GJ39" s="61"/>
      <c r="GK39" s="61"/>
      <c r="GL39" s="61"/>
      <c r="GM39" s="61"/>
      <c r="GN39" s="61"/>
      <c r="GO39" s="61"/>
      <c r="GP39" s="61"/>
      <c r="GQ39" s="61"/>
      <c r="GR39" s="61"/>
      <c r="GS39" s="61"/>
      <c r="GT39" s="61"/>
      <c r="GU39" s="61"/>
      <c r="GV39" s="61"/>
      <c r="GW39" s="61"/>
      <c r="GX39" s="61"/>
      <c r="GY39" s="61"/>
      <c r="GZ39" s="61"/>
      <c r="HA39" s="61"/>
      <c r="HB39" s="61"/>
      <c r="HC39" s="61"/>
      <c r="HD39" s="61"/>
      <c r="HE39" s="61"/>
      <c r="HF39" s="61"/>
      <c r="HG39" s="61"/>
      <c r="HH39" s="61"/>
      <c r="HI39" s="61"/>
      <c r="HJ39" s="61"/>
      <c r="HK39" s="61"/>
      <c r="HL39" s="61"/>
      <c r="HM39" s="61"/>
      <c r="HN39" s="61"/>
      <c r="HO39" s="61"/>
      <c r="HP39" s="61"/>
      <c r="HQ39" s="61"/>
      <c r="HR39" s="61"/>
      <c r="HS39" s="61"/>
      <c r="HT39" s="61"/>
      <c r="HU39" s="61"/>
      <c r="HV39" s="61"/>
      <c r="HW39" s="61"/>
      <c r="HX39" s="61"/>
      <c r="HY39" s="61"/>
      <c r="HZ39" s="61"/>
      <c r="IA39" s="61"/>
      <c r="IB39" s="61"/>
      <c r="IC39" s="61"/>
      <c r="ID39" s="61"/>
      <c r="IE39" s="61"/>
      <c r="IF39" s="61"/>
      <c r="IG39" s="61"/>
      <c r="IH39" s="61"/>
      <c r="II39" s="61"/>
      <c r="IJ39" s="61"/>
      <c r="IK39" s="61"/>
      <c r="IL39" s="61"/>
      <c r="IM39" s="61"/>
      <c r="IN39" s="61"/>
      <c r="IO39" s="61"/>
      <c r="IP39" s="61"/>
      <c r="IQ39" s="61"/>
      <c r="IR39" s="61"/>
      <c r="IS39" s="61"/>
      <c r="IT39" s="61"/>
      <c r="IU39" s="61"/>
      <c r="IV39" s="61"/>
      <c r="IW39" s="61"/>
      <c r="IX39" s="61"/>
      <c r="IY39" s="61"/>
      <c r="IZ39" s="61"/>
    </row>
    <row r="40" spans="1:260" s="62" customFormat="1" ht="15" customHeight="1" x14ac:dyDescent="0.2">
      <c r="A40" s="78"/>
      <c r="B40" s="78"/>
      <c r="C40" s="78"/>
      <c r="D40" s="78"/>
      <c r="E40" s="86"/>
      <c r="F40" s="86"/>
      <c r="G40" s="86"/>
      <c r="H40" s="86"/>
      <c r="I40" s="86"/>
      <c r="J40" s="91"/>
      <c r="K40" s="90"/>
      <c r="L40" s="97"/>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c r="DA40" s="61"/>
      <c r="DB40" s="61"/>
      <c r="DC40" s="61"/>
      <c r="DD40" s="61"/>
      <c r="DE40" s="61"/>
      <c r="DF40" s="61"/>
      <c r="DG40" s="61"/>
      <c r="DH40" s="61"/>
      <c r="DI40" s="61"/>
      <c r="DJ40" s="61"/>
      <c r="DK40" s="61"/>
      <c r="DL40" s="61"/>
      <c r="DM40" s="61"/>
      <c r="DN40" s="61"/>
      <c r="DO40" s="61"/>
      <c r="DP40" s="61"/>
      <c r="DQ40" s="61"/>
      <c r="DR40" s="61"/>
      <c r="DS40" s="61"/>
      <c r="DT40" s="61"/>
      <c r="DU40" s="61"/>
      <c r="DV40" s="61"/>
      <c r="DW40" s="61"/>
      <c r="DX40" s="61"/>
      <c r="DY40" s="61"/>
      <c r="DZ40" s="61"/>
      <c r="EA40" s="61"/>
      <c r="EB40" s="61"/>
      <c r="EC40" s="61"/>
      <c r="ED40" s="61"/>
      <c r="EE40" s="61"/>
      <c r="EF40" s="61"/>
      <c r="EG40" s="61"/>
      <c r="EH40" s="61"/>
      <c r="EI40" s="61"/>
      <c r="EJ40" s="61"/>
      <c r="EK40" s="61"/>
      <c r="EL40" s="61"/>
      <c r="EM40" s="61"/>
      <c r="EN40" s="61"/>
      <c r="EO40" s="61"/>
      <c r="EP40" s="61"/>
      <c r="EQ40" s="61"/>
      <c r="ER40" s="61"/>
      <c r="ES40" s="61"/>
      <c r="ET40" s="61"/>
      <c r="EU40" s="61"/>
      <c r="EV40" s="61"/>
      <c r="EW40" s="61"/>
      <c r="EX40" s="61"/>
      <c r="EY40" s="61"/>
      <c r="EZ40" s="61"/>
      <c r="FA40" s="61"/>
      <c r="FB40" s="61"/>
      <c r="FC40" s="61"/>
      <c r="FD40" s="61"/>
      <c r="FE40" s="61"/>
      <c r="FF40" s="61"/>
      <c r="FG40" s="61"/>
      <c r="FH40" s="61"/>
      <c r="FI40" s="61"/>
      <c r="FJ40" s="61"/>
      <c r="FK40" s="61"/>
      <c r="FL40" s="61"/>
      <c r="FM40" s="61"/>
      <c r="FN40" s="61"/>
      <c r="FO40" s="61"/>
      <c r="FP40" s="61"/>
      <c r="FQ40" s="61"/>
      <c r="FR40" s="61"/>
      <c r="FS40" s="61"/>
      <c r="FT40" s="61"/>
      <c r="FU40" s="61"/>
      <c r="FV40" s="61"/>
      <c r="FW40" s="61"/>
      <c r="FX40" s="61"/>
      <c r="FY40" s="61"/>
      <c r="FZ40" s="61"/>
      <c r="GA40" s="61"/>
      <c r="GB40" s="61"/>
      <c r="GC40" s="61"/>
      <c r="GD40" s="61"/>
      <c r="GE40" s="61"/>
      <c r="GF40" s="61"/>
      <c r="GG40" s="61"/>
      <c r="GH40" s="61"/>
      <c r="GI40" s="61"/>
      <c r="GJ40" s="61"/>
      <c r="GK40" s="61"/>
      <c r="GL40" s="61"/>
      <c r="GM40" s="61"/>
      <c r="GN40" s="61"/>
      <c r="GO40" s="61"/>
      <c r="GP40" s="61"/>
      <c r="GQ40" s="61"/>
      <c r="GR40" s="61"/>
      <c r="GS40" s="61"/>
      <c r="GT40" s="61"/>
      <c r="GU40" s="61"/>
      <c r="GV40" s="61"/>
      <c r="GW40" s="61"/>
      <c r="GX40" s="61"/>
      <c r="GY40" s="61"/>
      <c r="GZ40" s="61"/>
      <c r="HA40" s="61"/>
      <c r="HB40" s="61"/>
      <c r="HC40" s="61"/>
      <c r="HD40" s="61"/>
      <c r="HE40" s="61"/>
      <c r="HF40" s="61"/>
      <c r="HG40" s="61"/>
      <c r="HH40" s="61"/>
      <c r="HI40" s="61"/>
      <c r="HJ40" s="61"/>
      <c r="HK40" s="61"/>
      <c r="HL40" s="61"/>
      <c r="HM40" s="61"/>
      <c r="HN40" s="61"/>
      <c r="HO40" s="61"/>
      <c r="HP40" s="61"/>
      <c r="HQ40" s="61"/>
      <c r="HR40" s="61"/>
      <c r="HS40" s="61"/>
      <c r="HT40" s="61"/>
      <c r="HU40" s="61"/>
      <c r="HV40" s="61"/>
      <c r="HW40" s="61"/>
      <c r="HX40" s="61"/>
      <c r="HY40" s="61"/>
      <c r="HZ40" s="61"/>
      <c r="IA40" s="61"/>
      <c r="IB40" s="61"/>
      <c r="IC40" s="61"/>
      <c r="ID40" s="61"/>
      <c r="IE40" s="61"/>
      <c r="IF40" s="61"/>
      <c r="IG40" s="61"/>
      <c r="IH40" s="61"/>
      <c r="II40" s="61"/>
      <c r="IJ40" s="61"/>
      <c r="IK40" s="61"/>
      <c r="IL40" s="61"/>
      <c r="IM40" s="61"/>
      <c r="IN40" s="61"/>
      <c r="IO40" s="61"/>
      <c r="IP40" s="61"/>
      <c r="IQ40" s="61"/>
      <c r="IR40" s="61"/>
      <c r="IS40" s="61"/>
      <c r="IT40" s="61"/>
      <c r="IU40" s="61"/>
      <c r="IV40" s="61"/>
      <c r="IW40" s="61"/>
      <c r="IX40" s="61"/>
      <c r="IY40" s="61"/>
      <c r="IZ40" s="61"/>
    </row>
    <row r="41" spans="1:260" s="62" customFormat="1" ht="15" customHeight="1" thickBot="1" x14ac:dyDescent="0.25">
      <c r="A41" s="78"/>
      <c r="B41" s="78"/>
      <c r="C41" s="78"/>
      <c r="D41" s="78"/>
      <c r="E41" s="87"/>
      <c r="F41" s="87"/>
      <c r="G41" s="87"/>
      <c r="H41" s="87"/>
      <c r="I41" s="87"/>
      <c r="J41" s="91"/>
      <c r="K41" s="90"/>
      <c r="L41" s="97"/>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c r="DA41" s="61"/>
      <c r="DB41" s="61"/>
      <c r="DC41" s="61"/>
      <c r="DD41" s="61"/>
      <c r="DE41" s="61"/>
      <c r="DF41" s="61"/>
      <c r="DG41" s="61"/>
      <c r="DH41" s="61"/>
      <c r="DI41" s="61"/>
      <c r="DJ41" s="61"/>
      <c r="DK41" s="61"/>
      <c r="DL41" s="61"/>
      <c r="DM41" s="61"/>
      <c r="DN41" s="61"/>
      <c r="DO41" s="61"/>
      <c r="DP41" s="61"/>
      <c r="DQ41" s="61"/>
      <c r="DR41" s="61"/>
      <c r="DS41" s="61"/>
      <c r="DT41" s="61"/>
      <c r="DU41" s="61"/>
      <c r="DV41" s="61"/>
      <c r="DW41" s="61"/>
      <c r="DX41" s="61"/>
      <c r="DY41" s="61"/>
      <c r="DZ41" s="61"/>
      <c r="EA41" s="61"/>
      <c r="EB41" s="61"/>
      <c r="EC41" s="61"/>
      <c r="ED41" s="61"/>
      <c r="EE41" s="61"/>
      <c r="EF41" s="61"/>
      <c r="EG41" s="61"/>
      <c r="EH41" s="61"/>
      <c r="EI41" s="61"/>
      <c r="EJ41" s="61"/>
      <c r="EK41" s="61"/>
      <c r="EL41" s="61"/>
      <c r="EM41" s="61"/>
      <c r="EN41" s="61"/>
      <c r="EO41" s="61"/>
      <c r="EP41" s="61"/>
      <c r="EQ41" s="61"/>
      <c r="ER41" s="61"/>
      <c r="ES41" s="61"/>
      <c r="ET41" s="61"/>
      <c r="EU41" s="61"/>
      <c r="EV41" s="61"/>
      <c r="EW41" s="61"/>
      <c r="EX41" s="61"/>
      <c r="EY41" s="61"/>
      <c r="EZ41" s="61"/>
      <c r="FA41" s="61"/>
      <c r="FB41" s="61"/>
      <c r="FC41" s="61"/>
      <c r="FD41" s="61"/>
      <c r="FE41" s="61"/>
      <c r="FF41" s="61"/>
      <c r="FG41" s="61"/>
      <c r="FH41" s="61"/>
      <c r="FI41" s="61"/>
      <c r="FJ41" s="61"/>
      <c r="FK41" s="61"/>
      <c r="FL41" s="61"/>
      <c r="FM41" s="61"/>
      <c r="FN41" s="61"/>
      <c r="FO41" s="61"/>
      <c r="FP41" s="61"/>
      <c r="FQ41" s="61"/>
      <c r="FR41" s="61"/>
      <c r="FS41" s="61"/>
      <c r="FT41" s="61"/>
      <c r="FU41" s="61"/>
      <c r="FV41" s="61"/>
      <c r="FW41" s="61"/>
      <c r="FX41" s="61"/>
      <c r="FY41" s="61"/>
      <c r="FZ41" s="61"/>
      <c r="GA41" s="61"/>
      <c r="GB41" s="61"/>
      <c r="GC41" s="61"/>
      <c r="GD41" s="61"/>
      <c r="GE41" s="61"/>
      <c r="GF41" s="61"/>
      <c r="GG41" s="61"/>
      <c r="GH41" s="61"/>
      <c r="GI41" s="61"/>
      <c r="GJ41" s="61"/>
      <c r="GK41" s="61"/>
      <c r="GL41" s="61"/>
      <c r="GM41" s="61"/>
      <c r="GN41" s="61"/>
      <c r="GO41" s="61"/>
      <c r="GP41" s="61"/>
      <c r="GQ41" s="61"/>
      <c r="GR41" s="61"/>
      <c r="GS41" s="61"/>
      <c r="GT41" s="61"/>
      <c r="GU41" s="61"/>
      <c r="GV41" s="61"/>
      <c r="GW41" s="61"/>
      <c r="GX41" s="61"/>
      <c r="GY41" s="61"/>
      <c r="GZ41" s="61"/>
      <c r="HA41" s="61"/>
      <c r="HB41" s="61"/>
      <c r="HC41" s="61"/>
      <c r="HD41" s="61"/>
      <c r="HE41" s="61"/>
      <c r="HF41" s="61"/>
      <c r="HG41" s="61"/>
      <c r="HH41" s="61"/>
      <c r="HI41" s="61"/>
      <c r="HJ41" s="61"/>
      <c r="HK41" s="61"/>
      <c r="HL41" s="61"/>
      <c r="HM41" s="61"/>
      <c r="HN41" s="61"/>
      <c r="HO41" s="61"/>
      <c r="HP41" s="61"/>
      <c r="HQ41" s="61"/>
      <c r="HR41" s="61"/>
      <c r="HS41" s="61"/>
      <c r="HT41" s="61"/>
      <c r="HU41" s="61"/>
      <c r="HV41" s="61"/>
      <c r="HW41" s="61"/>
      <c r="HX41" s="61"/>
      <c r="HY41" s="61"/>
      <c r="HZ41" s="61"/>
      <c r="IA41" s="61"/>
      <c r="IB41" s="61"/>
      <c r="IC41" s="61"/>
      <c r="ID41" s="61"/>
      <c r="IE41" s="61"/>
      <c r="IF41" s="61"/>
      <c r="IG41" s="61"/>
      <c r="IH41" s="61"/>
      <c r="II41" s="61"/>
      <c r="IJ41" s="61"/>
      <c r="IK41" s="61"/>
      <c r="IL41" s="61"/>
      <c r="IM41" s="61"/>
      <c r="IN41" s="61"/>
      <c r="IO41" s="61"/>
      <c r="IP41" s="61"/>
      <c r="IQ41" s="61"/>
      <c r="IR41" s="61"/>
      <c r="IS41" s="61"/>
      <c r="IT41" s="61"/>
      <c r="IU41" s="61"/>
      <c r="IV41" s="61"/>
      <c r="IW41" s="61"/>
      <c r="IX41" s="61"/>
      <c r="IY41" s="61"/>
      <c r="IZ41" s="61"/>
    </row>
    <row r="42" spans="1:260" s="62" customFormat="1" ht="23.25" customHeight="1" thickBot="1" x14ac:dyDescent="0.25">
      <c r="A42" s="78"/>
      <c r="B42" s="78"/>
      <c r="C42" s="78"/>
      <c r="D42" s="78"/>
      <c r="E42" s="120" t="s">
        <v>6</v>
      </c>
      <c r="F42" s="156"/>
      <c r="G42" s="157"/>
      <c r="H42" s="157"/>
      <c r="I42" s="157"/>
      <c r="J42" s="157"/>
      <c r="K42" s="157"/>
      <c r="L42" s="12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c r="DA42" s="61"/>
      <c r="DB42" s="61"/>
      <c r="DC42" s="61"/>
      <c r="DD42" s="61"/>
      <c r="DE42" s="61"/>
      <c r="DF42" s="61"/>
      <c r="DG42" s="61"/>
      <c r="DH42" s="61"/>
      <c r="DI42" s="61"/>
      <c r="DJ42" s="61"/>
      <c r="DK42" s="61"/>
      <c r="DL42" s="61"/>
      <c r="DM42" s="61"/>
      <c r="DN42" s="61"/>
      <c r="DO42" s="61"/>
      <c r="DP42" s="61"/>
      <c r="DQ42" s="61"/>
      <c r="DR42" s="61"/>
      <c r="DS42" s="61"/>
      <c r="DT42" s="61"/>
      <c r="DU42" s="61"/>
      <c r="DV42" s="61"/>
      <c r="DW42" s="61"/>
      <c r="DX42" s="61"/>
      <c r="DY42" s="61"/>
      <c r="DZ42" s="61"/>
      <c r="EA42" s="61"/>
      <c r="EB42" s="61"/>
      <c r="EC42" s="61"/>
      <c r="ED42" s="61"/>
      <c r="EE42" s="61"/>
      <c r="EF42" s="61"/>
      <c r="EG42" s="61"/>
      <c r="EH42" s="61"/>
      <c r="EI42" s="61"/>
      <c r="EJ42" s="61"/>
      <c r="EK42" s="61"/>
      <c r="EL42" s="61"/>
      <c r="EM42" s="61"/>
      <c r="EN42" s="61"/>
      <c r="EO42" s="61"/>
      <c r="EP42" s="61"/>
      <c r="EQ42" s="61"/>
      <c r="ER42" s="61"/>
      <c r="ES42" s="61"/>
      <c r="ET42" s="61"/>
      <c r="EU42" s="61"/>
      <c r="EV42" s="61"/>
      <c r="EW42" s="61"/>
      <c r="EX42" s="61"/>
      <c r="EY42" s="61"/>
      <c r="EZ42" s="61"/>
      <c r="FA42" s="61"/>
      <c r="FB42" s="61"/>
      <c r="FC42" s="61"/>
      <c r="FD42" s="61"/>
      <c r="FE42" s="61"/>
      <c r="FF42" s="61"/>
      <c r="FG42" s="61"/>
      <c r="FH42" s="61"/>
      <c r="FI42" s="61"/>
      <c r="FJ42" s="61"/>
      <c r="FK42" s="61"/>
      <c r="FL42" s="61"/>
      <c r="FM42" s="61"/>
      <c r="FN42" s="61"/>
      <c r="FO42" s="61"/>
      <c r="FP42" s="61"/>
      <c r="FQ42" s="61"/>
      <c r="FR42" s="61"/>
      <c r="FS42" s="61"/>
      <c r="FT42" s="61"/>
      <c r="FU42" s="61"/>
      <c r="FV42" s="61"/>
      <c r="FW42" s="61"/>
      <c r="FX42" s="61"/>
      <c r="FY42" s="61"/>
      <c r="FZ42" s="61"/>
      <c r="GA42" s="61"/>
      <c r="GB42" s="61"/>
      <c r="GC42" s="61"/>
      <c r="GD42" s="61"/>
      <c r="GE42" s="61"/>
      <c r="GF42" s="61"/>
      <c r="GG42" s="61"/>
      <c r="GH42" s="61"/>
      <c r="GI42" s="61"/>
      <c r="GJ42" s="61"/>
      <c r="GK42" s="61"/>
      <c r="GL42" s="61"/>
      <c r="GM42" s="61"/>
      <c r="GN42" s="61"/>
      <c r="GO42" s="61"/>
      <c r="GP42" s="61"/>
      <c r="GQ42" s="61"/>
      <c r="GR42" s="61"/>
      <c r="GS42" s="61"/>
      <c r="GT42" s="61"/>
      <c r="GU42" s="61"/>
      <c r="GV42" s="61"/>
      <c r="GW42" s="61"/>
      <c r="GX42" s="61"/>
      <c r="GY42" s="61"/>
      <c r="GZ42" s="61"/>
      <c r="HA42" s="61"/>
      <c r="HB42" s="61"/>
      <c r="HC42" s="61"/>
      <c r="HD42" s="61"/>
      <c r="HE42" s="61"/>
      <c r="HF42" s="61"/>
      <c r="HG42" s="61"/>
      <c r="HH42" s="61"/>
      <c r="HI42" s="61"/>
      <c r="HJ42" s="61"/>
      <c r="HK42" s="61"/>
      <c r="HL42" s="61"/>
      <c r="HM42" s="61"/>
      <c r="HN42" s="61"/>
      <c r="HO42" s="61"/>
      <c r="HP42" s="61"/>
      <c r="HQ42" s="61"/>
      <c r="HR42" s="61"/>
      <c r="HS42" s="61"/>
      <c r="HT42" s="61"/>
      <c r="HU42" s="61"/>
      <c r="HV42" s="61"/>
      <c r="HW42" s="61"/>
      <c r="HX42" s="61"/>
      <c r="HY42" s="61"/>
      <c r="HZ42" s="61"/>
      <c r="IA42" s="61"/>
      <c r="IB42" s="61"/>
      <c r="IC42" s="61"/>
      <c r="ID42" s="61"/>
      <c r="IE42" s="61"/>
      <c r="IF42" s="61"/>
      <c r="IG42" s="61"/>
      <c r="IH42" s="61"/>
      <c r="II42" s="61"/>
      <c r="IJ42" s="61"/>
      <c r="IK42" s="61"/>
      <c r="IL42" s="61"/>
      <c r="IM42" s="61"/>
      <c r="IN42" s="61"/>
      <c r="IO42" s="61"/>
      <c r="IP42" s="61"/>
      <c r="IQ42" s="61"/>
      <c r="IR42" s="61"/>
      <c r="IS42" s="61"/>
      <c r="IT42" s="61"/>
      <c r="IU42" s="61"/>
      <c r="IV42" s="61"/>
      <c r="IW42" s="61"/>
      <c r="IX42" s="61"/>
      <c r="IY42" s="61"/>
      <c r="IZ42" s="61"/>
    </row>
    <row r="43" spans="1:260" s="62" customFormat="1" ht="23.25" customHeight="1" thickBot="1" x14ac:dyDescent="0.25">
      <c r="A43" s="78"/>
      <c r="B43" s="78"/>
      <c r="C43" s="78"/>
      <c r="D43" s="78"/>
      <c r="E43" s="122" t="s">
        <v>615</v>
      </c>
      <c r="F43" s="158"/>
      <c r="G43" s="159"/>
      <c r="H43" s="159"/>
      <c r="I43" s="159"/>
      <c r="J43" s="159"/>
      <c r="K43" s="159"/>
      <c r="L43" s="123"/>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c r="DA43" s="61"/>
      <c r="DB43" s="61"/>
      <c r="DC43" s="61"/>
      <c r="DD43" s="61"/>
      <c r="DE43" s="61"/>
      <c r="DF43" s="61"/>
      <c r="DG43" s="61"/>
      <c r="DH43" s="61"/>
      <c r="DI43" s="61"/>
      <c r="DJ43" s="61"/>
      <c r="DK43" s="61"/>
      <c r="DL43" s="61"/>
      <c r="DM43" s="61"/>
      <c r="DN43" s="61"/>
      <c r="DO43" s="61"/>
      <c r="DP43" s="61"/>
      <c r="DQ43" s="61"/>
      <c r="DR43" s="61"/>
      <c r="DS43" s="61"/>
      <c r="DT43" s="61"/>
      <c r="DU43" s="61"/>
      <c r="DV43" s="61"/>
      <c r="DW43" s="61"/>
      <c r="DX43" s="61"/>
      <c r="DY43" s="61"/>
      <c r="DZ43" s="61"/>
      <c r="EA43" s="61"/>
      <c r="EB43" s="61"/>
      <c r="EC43" s="61"/>
      <c r="ED43" s="61"/>
      <c r="EE43" s="61"/>
      <c r="EF43" s="61"/>
      <c r="EG43" s="61"/>
      <c r="EH43" s="61"/>
      <c r="EI43" s="61"/>
      <c r="EJ43" s="61"/>
      <c r="EK43" s="61"/>
      <c r="EL43" s="61"/>
      <c r="EM43" s="61"/>
      <c r="EN43" s="61"/>
      <c r="EO43" s="61"/>
      <c r="EP43" s="61"/>
      <c r="EQ43" s="61"/>
      <c r="ER43" s="61"/>
      <c r="ES43" s="61"/>
      <c r="ET43" s="61"/>
      <c r="EU43" s="61"/>
      <c r="EV43" s="61"/>
      <c r="EW43" s="61"/>
      <c r="EX43" s="61"/>
      <c r="EY43" s="61"/>
      <c r="EZ43" s="61"/>
      <c r="FA43" s="61"/>
      <c r="FB43" s="61"/>
      <c r="FC43" s="61"/>
      <c r="FD43" s="61"/>
      <c r="FE43" s="61"/>
      <c r="FF43" s="61"/>
      <c r="FG43" s="61"/>
      <c r="FH43" s="61"/>
      <c r="FI43" s="61"/>
      <c r="FJ43" s="61"/>
      <c r="FK43" s="61"/>
      <c r="FL43" s="61"/>
      <c r="FM43" s="61"/>
      <c r="FN43" s="61"/>
      <c r="FO43" s="61"/>
      <c r="FP43" s="61"/>
      <c r="FQ43" s="61"/>
      <c r="FR43" s="61"/>
      <c r="FS43" s="61"/>
      <c r="FT43" s="61"/>
      <c r="FU43" s="61"/>
      <c r="FV43" s="61"/>
      <c r="FW43" s="61"/>
      <c r="FX43" s="61"/>
      <c r="FY43" s="61"/>
      <c r="FZ43" s="61"/>
      <c r="GA43" s="61"/>
      <c r="GB43" s="61"/>
      <c r="GC43" s="61"/>
      <c r="GD43" s="61"/>
      <c r="GE43" s="61"/>
      <c r="GF43" s="61"/>
      <c r="GG43" s="61"/>
      <c r="GH43" s="61"/>
      <c r="GI43" s="61"/>
      <c r="GJ43" s="61"/>
      <c r="GK43" s="61"/>
      <c r="GL43" s="61"/>
      <c r="GM43" s="61"/>
      <c r="GN43" s="61"/>
      <c r="GO43" s="61"/>
      <c r="GP43" s="61"/>
      <c r="GQ43" s="61"/>
      <c r="GR43" s="61"/>
      <c r="GS43" s="61"/>
      <c r="GT43" s="61"/>
      <c r="GU43" s="61"/>
      <c r="GV43" s="61"/>
      <c r="GW43" s="61"/>
      <c r="GX43" s="61"/>
      <c r="GY43" s="61"/>
      <c r="GZ43" s="61"/>
      <c r="HA43" s="61"/>
      <c r="HB43" s="61"/>
      <c r="HC43" s="61"/>
      <c r="HD43" s="61"/>
      <c r="HE43" s="61"/>
      <c r="HF43" s="61"/>
      <c r="HG43" s="61"/>
      <c r="HH43" s="61"/>
      <c r="HI43" s="61"/>
      <c r="HJ43" s="61"/>
      <c r="HK43" s="61"/>
      <c r="HL43" s="61"/>
      <c r="HM43" s="61"/>
      <c r="HN43" s="61"/>
      <c r="HO43" s="61"/>
      <c r="HP43" s="61"/>
      <c r="HQ43" s="61"/>
      <c r="HR43" s="61"/>
      <c r="HS43" s="61"/>
      <c r="HT43" s="61"/>
      <c r="HU43" s="61"/>
      <c r="HV43" s="61"/>
      <c r="HW43" s="61"/>
      <c r="HX43" s="61"/>
      <c r="HY43" s="61"/>
      <c r="HZ43" s="61"/>
      <c r="IA43" s="61"/>
      <c r="IB43" s="61"/>
      <c r="IC43" s="61"/>
      <c r="ID43" s="61"/>
      <c r="IE43" s="61"/>
      <c r="IF43" s="61"/>
      <c r="IG43" s="61"/>
      <c r="IH43" s="61"/>
      <c r="II43" s="61"/>
      <c r="IJ43" s="61"/>
      <c r="IK43" s="61"/>
      <c r="IL43" s="61"/>
      <c r="IM43" s="61"/>
      <c r="IN43" s="61"/>
      <c r="IO43" s="61"/>
      <c r="IP43" s="61"/>
      <c r="IQ43" s="61"/>
      <c r="IR43" s="61"/>
      <c r="IS43" s="61"/>
      <c r="IT43" s="61"/>
      <c r="IU43" s="61"/>
      <c r="IV43" s="61"/>
      <c r="IW43" s="61"/>
      <c r="IX43" s="61"/>
      <c r="IY43" s="61"/>
      <c r="IZ43" s="61"/>
    </row>
    <row r="44" spans="1:260" s="62" customFormat="1" ht="23.25" customHeight="1" thickBot="1" x14ac:dyDescent="0.25">
      <c r="A44" s="78"/>
      <c r="B44" s="78"/>
      <c r="C44" s="78"/>
      <c r="D44" s="78"/>
      <c r="E44" s="124" t="s">
        <v>616</v>
      </c>
      <c r="F44" s="160"/>
      <c r="G44" s="161"/>
      <c r="H44" s="161"/>
      <c r="I44" s="161"/>
      <c r="J44" s="161"/>
      <c r="K44" s="161"/>
      <c r="L44" s="125"/>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c r="DA44" s="61"/>
      <c r="DB44" s="61"/>
      <c r="DC44" s="61"/>
      <c r="DD44" s="61"/>
      <c r="DE44" s="61"/>
      <c r="DF44" s="61"/>
      <c r="DG44" s="61"/>
      <c r="DH44" s="61"/>
      <c r="DI44" s="61"/>
      <c r="DJ44" s="61"/>
      <c r="DK44" s="61"/>
      <c r="DL44" s="61"/>
      <c r="DM44" s="61"/>
      <c r="DN44" s="61"/>
      <c r="DO44" s="61"/>
      <c r="DP44" s="61"/>
      <c r="DQ44" s="61"/>
      <c r="DR44" s="61"/>
      <c r="DS44" s="61"/>
      <c r="DT44" s="61"/>
      <c r="DU44" s="61"/>
      <c r="DV44" s="61"/>
      <c r="DW44" s="61"/>
      <c r="DX44" s="61"/>
      <c r="DY44" s="61"/>
      <c r="DZ44" s="61"/>
      <c r="EA44" s="61"/>
      <c r="EB44" s="61"/>
      <c r="EC44" s="61"/>
      <c r="ED44" s="61"/>
      <c r="EE44" s="61"/>
      <c r="EF44" s="61"/>
      <c r="EG44" s="61"/>
      <c r="EH44" s="61"/>
      <c r="EI44" s="61"/>
      <c r="EJ44" s="61"/>
      <c r="EK44" s="61"/>
      <c r="EL44" s="61"/>
      <c r="EM44" s="61"/>
      <c r="EN44" s="61"/>
      <c r="EO44" s="61"/>
      <c r="EP44" s="61"/>
      <c r="EQ44" s="61"/>
      <c r="ER44" s="61"/>
      <c r="ES44" s="61"/>
      <c r="ET44" s="61"/>
      <c r="EU44" s="61"/>
      <c r="EV44" s="61"/>
      <c r="EW44" s="61"/>
      <c r="EX44" s="61"/>
      <c r="EY44" s="61"/>
      <c r="EZ44" s="61"/>
      <c r="FA44" s="61"/>
      <c r="FB44" s="61"/>
      <c r="FC44" s="61"/>
      <c r="FD44" s="61"/>
      <c r="FE44" s="61"/>
      <c r="FF44" s="61"/>
      <c r="FG44" s="61"/>
      <c r="FH44" s="61"/>
      <c r="FI44" s="61"/>
      <c r="FJ44" s="61"/>
      <c r="FK44" s="61"/>
      <c r="FL44" s="61"/>
      <c r="FM44" s="61"/>
      <c r="FN44" s="61"/>
      <c r="FO44" s="61"/>
      <c r="FP44" s="61"/>
      <c r="FQ44" s="61"/>
      <c r="FR44" s="61"/>
      <c r="FS44" s="61"/>
      <c r="FT44" s="61"/>
      <c r="FU44" s="61"/>
      <c r="FV44" s="61"/>
      <c r="FW44" s="61"/>
      <c r="FX44" s="61"/>
      <c r="FY44" s="61"/>
      <c r="FZ44" s="61"/>
      <c r="GA44" s="61"/>
      <c r="GB44" s="61"/>
      <c r="GC44" s="61"/>
      <c r="GD44" s="61"/>
      <c r="GE44" s="61"/>
      <c r="GF44" s="61"/>
      <c r="GG44" s="61"/>
      <c r="GH44" s="61"/>
      <c r="GI44" s="61"/>
      <c r="GJ44" s="61"/>
      <c r="GK44" s="61"/>
      <c r="GL44" s="61"/>
      <c r="GM44" s="61"/>
      <c r="GN44" s="61"/>
      <c r="GO44" s="61"/>
      <c r="GP44" s="61"/>
      <c r="GQ44" s="61"/>
      <c r="GR44" s="61"/>
      <c r="GS44" s="61"/>
      <c r="GT44" s="61"/>
      <c r="GU44" s="61"/>
      <c r="GV44" s="61"/>
      <c r="GW44" s="61"/>
      <c r="GX44" s="61"/>
      <c r="GY44" s="61"/>
      <c r="GZ44" s="61"/>
      <c r="HA44" s="61"/>
      <c r="HB44" s="61"/>
      <c r="HC44" s="61"/>
      <c r="HD44" s="61"/>
      <c r="HE44" s="61"/>
      <c r="HF44" s="61"/>
      <c r="HG44" s="61"/>
      <c r="HH44" s="61"/>
      <c r="HI44" s="61"/>
      <c r="HJ44" s="61"/>
      <c r="HK44" s="61"/>
      <c r="HL44" s="61"/>
      <c r="HM44" s="61"/>
      <c r="HN44" s="61"/>
      <c r="HO44" s="61"/>
      <c r="HP44" s="61"/>
      <c r="HQ44" s="61"/>
      <c r="HR44" s="61"/>
      <c r="HS44" s="61"/>
      <c r="HT44" s="61"/>
      <c r="HU44" s="61"/>
      <c r="HV44" s="61"/>
      <c r="HW44" s="61"/>
      <c r="HX44" s="61"/>
      <c r="HY44" s="61"/>
      <c r="HZ44" s="61"/>
      <c r="IA44" s="61"/>
      <c r="IB44" s="61"/>
      <c r="IC44" s="61"/>
      <c r="ID44" s="61"/>
      <c r="IE44" s="61"/>
      <c r="IF44" s="61"/>
      <c r="IG44" s="61"/>
      <c r="IH44" s="61"/>
      <c r="II44" s="61"/>
      <c r="IJ44" s="61"/>
      <c r="IK44" s="61"/>
      <c r="IL44" s="61"/>
      <c r="IM44" s="61"/>
      <c r="IN44" s="61"/>
      <c r="IO44" s="61"/>
      <c r="IP44" s="61"/>
      <c r="IQ44" s="61"/>
      <c r="IR44" s="61"/>
      <c r="IS44" s="61"/>
      <c r="IT44" s="61"/>
      <c r="IU44" s="61"/>
      <c r="IV44" s="61"/>
      <c r="IW44" s="61"/>
      <c r="IX44" s="61"/>
      <c r="IY44" s="61"/>
      <c r="IZ44" s="61"/>
    </row>
    <row r="45" spans="1:260" s="62" customFormat="1" ht="23.25" customHeight="1" thickBot="1" x14ac:dyDescent="0.25">
      <c r="A45" s="78"/>
      <c r="B45" s="78"/>
      <c r="C45" s="78"/>
      <c r="D45" s="78"/>
      <c r="E45" s="122" t="s">
        <v>617</v>
      </c>
      <c r="F45" s="158"/>
      <c r="G45" s="159"/>
      <c r="H45" s="159"/>
      <c r="I45" s="159"/>
      <c r="J45" s="159"/>
      <c r="K45" s="159"/>
      <c r="L45" s="123"/>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c r="DH45" s="61"/>
      <c r="DI45" s="61"/>
      <c r="DJ45" s="61"/>
      <c r="DK45" s="61"/>
      <c r="DL45" s="61"/>
      <c r="DM45" s="61"/>
      <c r="DN45" s="61"/>
      <c r="DO45" s="61"/>
      <c r="DP45" s="61"/>
      <c r="DQ45" s="61"/>
      <c r="DR45" s="61"/>
      <c r="DS45" s="61"/>
      <c r="DT45" s="61"/>
      <c r="DU45" s="61"/>
      <c r="DV45" s="61"/>
      <c r="DW45" s="61"/>
      <c r="DX45" s="61"/>
      <c r="DY45" s="61"/>
      <c r="DZ45" s="61"/>
      <c r="EA45" s="61"/>
      <c r="EB45" s="61"/>
      <c r="EC45" s="61"/>
      <c r="ED45" s="61"/>
      <c r="EE45" s="61"/>
      <c r="EF45" s="61"/>
      <c r="EG45" s="61"/>
      <c r="EH45" s="61"/>
      <c r="EI45" s="61"/>
      <c r="EJ45" s="61"/>
      <c r="EK45" s="61"/>
      <c r="EL45" s="61"/>
      <c r="EM45" s="61"/>
      <c r="EN45" s="61"/>
      <c r="EO45" s="61"/>
      <c r="EP45" s="61"/>
      <c r="EQ45" s="61"/>
      <c r="ER45" s="61"/>
      <c r="ES45" s="61"/>
      <c r="ET45" s="61"/>
      <c r="EU45" s="61"/>
      <c r="EV45" s="61"/>
      <c r="EW45" s="61"/>
      <c r="EX45" s="61"/>
      <c r="EY45" s="61"/>
      <c r="EZ45" s="61"/>
      <c r="FA45" s="61"/>
      <c r="FB45" s="61"/>
      <c r="FC45" s="61"/>
      <c r="FD45" s="61"/>
      <c r="FE45" s="61"/>
      <c r="FF45" s="61"/>
      <c r="FG45" s="61"/>
      <c r="FH45" s="61"/>
      <c r="FI45" s="61"/>
      <c r="FJ45" s="61"/>
      <c r="FK45" s="61"/>
      <c r="FL45" s="61"/>
      <c r="FM45" s="61"/>
      <c r="FN45" s="61"/>
      <c r="FO45" s="61"/>
      <c r="FP45" s="61"/>
      <c r="FQ45" s="61"/>
      <c r="FR45" s="61"/>
      <c r="FS45" s="61"/>
      <c r="FT45" s="61"/>
      <c r="FU45" s="61"/>
      <c r="FV45" s="61"/>
      <c r="FW45" s="61"/>
      <c r="FX45" s="61"/>
      <c r="FY45" s="61"/>
      <c r="FZ45" s="61"/>
      <c r="GA45" s="61"/>
      <c r="GB45" s="61"/>
      <c r="GC45" s="61"/>
      <c r="GD45" s="61"/>
      <c r="GE45" s="61"/>
      <c r="GF45" s="61"/>
      <c r="GG45" s="61"/>
      <c r="GH45" s="61"/>
      <c r="GI45" s="61"/>
      <c r="GJ45" s="61"/>
      <c r="GK45" s="61"/>
      <c r="GL45" s="61"/>
      <c r="GM45" s="61"/>
      <c r="GN45" s="61"/>
      <c r="GO45" s="61"/>
      <c r="GP45" s="61"/>
      <c r="GQ45" s="61"/>
      <c r="GR45" s="61"/>
      <c r="GS45" s="61"/>
      <c r="GT45" s="61"/>
      <c r="GU45" s="61"/>
      <c r="GV45" s="61"/>
      <c r="GW45" s="61"/>
      <c r="GX45" s="61"/>
      <c r="GY45" s="61"/>
      <c r="GZ45" s="61"/>
      <c r="HA45" s="61"/>
      <c r="HB45" s="61"/>
      <c r="HC45" s="61"/>
      <c r="HD45" s="61"/>
      <c r="HE45" s="61"/>
      <c r="HF45" s="61"/>
      <c r="HG45" s="61"/>
      <c r="HH45" s="61"/>
      <c r="HI45" s="61"/>
      <c r="HJ45" s="61"/>
      <c r="HK45" s="61"/>
      <c r="HL45" s="61"/>
      <c r="HM45" s="61"/>
      <c r="HN45" s="61"/>
      <c r="HO45" s="61"/>
      <c r="HP45" s="61"/>
      <c r="HQ45" s="61"/>
      <c r="HR45" s="61"/>
      <c r="HS45" s="61"/>
      <c r="HT45" s="61"/>
      <c r="HU45" s="61"/>
      <c r="HV45" s="61"/>
      <c r="HW45" s="61"/>
      <c r="HX45" s="61"/>
      <c r="HY45" s="61"/>
      <c r="HZ45" s="61"/>
      <c r="IA45" s="61"/>
      <c r="IB45" s="61"/>
      <c r="IC45" s="61"/>
      <c r="ID45" s="61"/>
      <c r="IE45" s="61"/>
      <c r="IF45" s="61"/>
      <c r="IG45" s="61"/>
      <c r="IH45" s="61"/>
      <c r="II45" s="61"/>
      <c r="IJ45" s="61"/>
      <c r="IK45" s="61"/>
      <c r="IL45" s="61"/>
      <c r="IM45" s="61"/>
      <c r="IN45" s="61"/>
      <c r="IO45" s="61"/>
      <c r="IP45" s="61"/>
      <c r="IQ45" s="61"/>
      <c r="IR45" s="61"/>
      <c r="IS45" s="61"/>
      <c r="IT45" s="61"/>
      <c r="IU45" s="61"/>
      <c r="IV45" s="61"/>
      <c r="IW45" s="61"/>
      <c r="IX45" s="61"/>
      <c r="IY45" s="61"/>
      <c r="IZ45" s="61"/>
    </row>
    <row r="46" spans="1:260" s="62" customFormat="1" ht="23.25" customHeight="1" thickBot="1" x14ac:dyDescent="0.25">
      <c r="A46" s="78"/>
      <c r="B46" s="78"/>
      <c r="C46" s="78"/>
      <c r="D46" s="78"/>
      <c r="E46" s="124" t="s">
        <v>618</v>
      </c>
      <c r="F46" s="160"/>
      <c r="G46" s="161"/>
      <c r="H46" s="161"/>
      <c r="I46" s="161"/>
      <c r="J46" s="161"/>
      <c r="K46" s="161"/>
      <c r="L46" s="125"/>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61"/>
      <c r="DE46" s="61"/>
      <c r="DF46" s="61"/>
      <c r="DG46" s="61"/>
      <c r="DH46" s="61"/>
      <c r="DI46" s="61"/>
      <c r="DJ46" s="61"/>
      <c r="DK46" s="61"/>
      <c r="DL46" s="61"/>
      <c r="DM46" s="61"/>
      <c r="DN46" s="61"/>
      <c r="DO46" s="61"/>
      <c r="DP46" s="61"/>
      <c r="DQ46" s="61"/>
      <c r="DR46" s="61"/>
      <c r="DS46" s="61"/>
      <c r="DT46" s="61"/>
      <c r="DU46" s="61"/>
      <c r="DV46" s="61"/>
      <c r="DW46" s="61"/>
      <c r="DX46" s="61"/>
      <c r="DY46" s="61"/>
      <c r="DZ46" s="61"/>
      <c r="EA46" s="61"/>
      <c r="EB46" s="61"/>
      <c r="EC46" s="61"/>
      <c r="ED46" s="61"/>
      <c r="EE46" s="61"/>
      <c r="EF46" s="61"/>
      <c r="EG46" s="61"/>
      <c r="EH46" s="61"/>
      <c r="EI46" s="61"/>
      <c r="EJ46" s="61"/>
      <c r="EK46" s="61"/>
      <c r="EL46" s="61"/>
      <c r="EM46" s="61"/>
      <c r="EN46" s="61"/>
      <c r="EO46" s="61"/>
      <c r="EP46" s="61"/>
      <c r="EQ46" s="61"/>
      <c r="ER46" s="61"/>
      <c r="ES46" s="61"/>
      <c r="ET46" s="61"/>
      <c r="EU46" s="61"/>
      <c r="EV46" s="61"/>
      <c r="EW46" s="61"/>
      <c r="EX46" s="61"/>
      <c r="EY46" s="61"/>
      <c r="EZ46" s="61"/>
      <c r="FA46" s="61"/>
      <c r="FB46" s="61"/>
      <c r="FC46" s="61"/>
      <c r="FD46" s="61"/>
      <c r="FE46" s="61"/>
      <c r="FF46" s="61"/>
      <c r="FG46" s="61"/>
      <c r="FH46" s="61"/>
      <c r="FI46" s="61"/>
      <c r="FJ46" s="61"/>
      <c r="FK46" s="61"/>
      <c r="FL46" s="61"/>
      <c r="FM46" s="61"/>
      <c r="FN46" s="61"/>
      <c r="FO46" s="61"/>
      <c r="FP46" s="61"/>
      <c r="FQ46" s="61"/>
      <c r="FR46" s="61"/>
      <c r="FS46" s="61"/>
      <c r="FT46" s="61"/>
      <c r="FU46" s="61"/>
      <c r="FV46" s="61"/>
      <c r="FW46" s="61"/>
      <c r="FX46" s="61"/>
      <c r="FY46" s="61"/>
      <c r="FZ46" s="61"/>
      <c r="GA46" s="61"/>
      <c r="GB46" s="61"/>
      <c r="GC46" s="61"/>
      <c r="GD46" s="61"/>
      <c r="GE46" s="61"/>
      <c r="GF46" s="61"/>
      <c r="GG46" s="61"/>
      <c r="GH46" s="61"/>
      <c r="GI46" s="61"/>
      <c r="GJ46" s="61"/>
      <c r="GK46" s="61"/>
      <c r="GL46" s="61"/>
      <c r="GM46" s="61"/>
      <c r="GN46" s="61"/>
      <c r="GO46" s="61"/>
      <c r="GP46" s="61"/>
      <c r="GQ46" s="61"/>
      <c r="GR46" s="61"/>
      <c r="GS46" s="61"/>
      <c r="GT46" s="61"/>
      <c r="GU46" s="61"/>
      <c r="GV46" s="61"/>
      <c r="GW46" s="61"/>
      <c r="GX46" s="61"/>
      <c r="GY46" s="61"/>
      <c r="GZ46" s="61"/>
      <c r="HA46" s="61"/>
      <c r="HB46" s="61"/>
      <c r="HC46" s="61"/>
      <c r="HD46" s="61"/>
      <c r="HE46" s="61"/>
      <c r="HF46" s="61"/>
      <c r="HG46" s="61"/>
      <c r="HH46" s="61"/>
      <c r="HI46" s="61"/>
      <c r="HJ46" s="61"/>
      <c r="HK46" s="61"/>
      <c r="HL46" s="61"/>
      <c r="HM46" s="61"/>
      <c r="HN46" s="61"/>
      <c r="HO46" s="61"/>
      <c r="HP46" s="61"/>
      <c r="HQ46" s="61"/>
      <c r="HR46" s="61"/>
      <c r="HS46" s="61"/>
      <c r="HT46" s="61"/>
      <c r="HU46" s="61"/>
      <c r="HV46" s="61"/>
      <c r="HW46" s="61"/>
      <c r="HX46" s="61"/>
      <c r="HY46" s="61"/>
      <c r="HZ46" s="61"/>
      <c r="IA46" s="61"/>
      <c r="IB46" s="61"/>
      <c r="IC46" s="61"/>
      <c r="ID46" s="61"/>
      <c r="IE46" s="61"/>
      <c r="IF46" s="61"/>
      <c r="IG46" s="61"/>
      <c r="IH46" s="61"/>
      <c r="II46" s="61"/>
      <c r="IJ46" s="61"/>
      <c r="IK46" s="61"/>
      <c r="IL46" s="61"/>
      <c r="IM46" s="61"/>
      <c r="IN46" s="61"/>
      <c r="IO46" s="61"/>
      <c r="IP46" s="61"/>
      <c r="IQ46" s="61"/>
      <c r="IR46" s="61"/>
      <c r="IS46" s="61"/>
      <c r="IT46" s="61"/>
      <c r="IU46" s="61"/>
      <c r="IV46" s="61"/>
      <c r="IW46" s="61"/>
      <c r="IX46" s="61"/>
      <c r="IY46" s="61"/>
      <c r="IZ46" s="61"/>
    </row>
    <row r="47" spans="1:260" s="62" customFormat="1" ht="23.25" customHeight="1" thickBot="1" x14ac:dyDescent="0.25">
      <c r="A47" s="78"/>
      <c r="B47" s="78"/>
      <c r="C47" s="78"/>
      <c r="D47" s="78"/>
      <c r="E47" s="122" t="s">
        <v>619</v>
      </c>
      <c r="F47" s="158"/>
      <c r="G47" s="159"/>
      <c r="H47" s="159"/>
      <c r="I47" s="159"/>
      <c r="J47" s="159"/>
      <c r="K47" s="159"/>
      <c r="L47" s="123"/>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c r="DA47" s="61"/>
      <c r="DB47" s="61"/>
      <c r="DC47" s="61"/>
      <c r="DD47" s="61"/>
      <c r="DE47" s="61"/>
      <c r="DF47" s="61"/>
      <c r="DG47" s="61"/>
      <c r="DH47" s="61"/>
      <c r="DI47" s="61"/>
      <c r="DJ47" s="61"/>
      <c r="DK47" s="61"/>
      <c r="DL47" s="61"/>
      <c r="DM47" s="61"/>
      <c r="DN47" s="61"/>
      <c r="DO47" s="61"/>
      <c r="DP47" s="61"/>
      <c r="DQ47" s="61"/>
      <c r="DR47" s="61"/>
      <c r="DS47" s="61"/>
      <c r="DT47" s="61"/>
      <c r="DU47" s="61"/>
      <c r="DV47" s="61"/>
      <c r="DW47" s="61"/>
      <c r="DX47" s="61"/>
      <c r="DY47" s="61"/>
      <c r="DZ47" s="61"/>
      <c r="EA47" s="61"/>
      <c r="EB47" s="61"/>
      <c r="EC47" s="61"/>
      <c r="ED47" s="61"/>
      <c r="EE47" s="61"/>
      <c r="EF47" s="61"/>
      <c r="EG47" s="61"/>
      <c r="EH47" s="61"/>
      <c r="EI47" s="61"/>
      <c r="EJ47" s="61"/>
      <c r="EK47" s="61"/>
      <c r="EL47" s="61"/>
      <c r="EM47" s="61"/>
      <c r="EN47" s="61"/>
      <c r="EO47" s="61"/>
      <c r="EP47" s="61"/>
      <c r="EQ47" s="61"/>
      <c r="ER47" s="61"/>
      <c r="ES47" s="61"/>
      <c r="ET47" s="61"/>
      <c r="EU47" s="61"/>
      <c r="EV47" s="61"/>
      <c r="EW47" s="61"/>
      <c r="EX47" s="61"/>
      <c r="EY47" s="61"/>
      <c r="EZ47" s="61"/>
      <c r="FA47" s="61"/>
      <c r="FB47" s="61"/>
      <c r="FC47" s="61"/>
      <c r="FD47" s="61"/>
      <c r="FE47" s="61"/>
      <c r="FF47" s="61"/>
      <c r="FG47" s="61"/>
      <c r="FH47" s="61"/>
      <c r="FI47" s="61"/>
      <c r="FJ47" s="61"/>
      <c r="FK47" s="61"/>
      <c r="FL47" s="61"/>
      <c r="FM47" s="61"/>
      <c r="FN47" s="61"/>
      <c r="FO47" s="61"/>
      <c r="FP47" s="61"/>
      <c r="FQ47" s="61"/>
      <c r="FR47" s="61"/>
      <c r="FS47" s="61"/>
      <c r="FT47" s="61"/>
      <c r="FU47" s="61"/>
      <c r="FV47" s="61"/>
      <c r="FW47" s="61"/>
      <c r="FX47" s="61"/>
      <c r="FY47" s="61"/>
      <c r="FZ47" s="61"/>
      <c r="GA47" s="61"/>
      <c r="GB47" s="61"/>
      <c r="GC47" s="61"/>
      <c r="GD47" s="61"/>
      <c r="GE47" s="61"/>
      <c r="GF47" s="61"/>
      <c r="GG47" s="61"/>
      <c r="GH47" s="61"/>
      <c r="GI47" s="61"/>
      <c r="GJ47" s="61"/>
      <c r="GK47" s="61"/>
      <c r="GL47" s="61"/>
      <c r="GM47" s="61"/>
      <c r="GN47" s="61"/>
      <c r="GO47" s="61"/>
      <c r="GP47" s="61"/>
      <c r="GQ47" s="61"/>
      <c r="GR47" s="61"/>
      <c r="GS47" s="61"/>
      <c r="GT47" s="61"/>
      <c r="GU47" s="61"/>
      <c r="GV47" s="61"/>
      <c r="GW47" s="61"/>
      <c r="GX47" s="61"/>
      <c r="GY47" s="61"/>
      <c r="GZ47" s="61"/>
      <c r="HA47" s="61"/>
      <c r="HB47" s="61"/>
      <c r="HC47" s="61"/>
      <c r="HD47" s="61"/>
      <c r="HE47" s="61"/>
      <c r="HF47" s="61"/>
      <c r="HG47" s="61"/>
      <c r="HH47" s="61"/>
      <c r="HI47" s="61"/>
      <c r="HJ47" s="61"/>
      <c r="HK47" s="61"/>
      <c r="HL47" s="61"/>
      <c r="HM47" s="61"/>
      <c r="HN47" s="61"/>
      <c r="HO47" s="61"/>
      <c r="HP47" s="61"/>
      <c r="HQ47" s="61"/>
      <c r="HR47" s="61"/>
      <c r="HS47" s="61"/>
      <c r="HT47" s="61"/>
      <c r="HU47" s="61"/>
      <c r="HV47" s="61"/>
      <c r="HW47" s="61"/>
      <c r="HX47" s="61"/>
      <c r="HY47" s="61"/>
      <c r="HZ47" s="61"/>
      <c r="IA47" s="61"/>
      <c r="IB47" s="61"/>
      <c r="IC47" s="61"/>
      <c r="ID47" s="61"/>
      <c r="IE47" s="61"/>
      <c r="IF47" s="61"/>
      <c r="IG47" s="61"/>
      <c r="IH47" s="61"/>
      <c r="II47" s="61"/>
      <c r="IJ47" s="61"/>
      <c r="IK47" s="61"/>
      <c r="IL47" s="61"/>
      <c r="IM47" s="61"/>
      <c r="IN47" s="61"/>
      <c r="IO47" s="61"/>
      <c r="IP47" s="61"/>
      <c r="IQ47" s="61"/>
      <c r="IR47" s="61"/>
      <c r="IS47" s="61"/>
      <c r="IT47" s="61"/>
      <c r="IU47" s="61"/>
      <c r="IV47" s="61"/>
      <c r="IW47" s="61"/>
      <c r="IX47" s="61"/>
      <c r="IY47" s="61"/>
      <c r="IZ47" s="61"/>
    </row>
    <row r="48" spans="1:260" s="62" customFormat="1" ht="23.25" customHeight="1" thickBot="1" x14ac:dyDescent="0.25">
      <c r="A48" s="78"/>
      <c r="B48" s="78"/>
      <c r="C48" s="78"/>
      <c r="D48" s="78"/>
      <c r="E48" s="126" t="s">
        <v>8</v>
      </c>
      <c r="F48" s="154"/>
      <c r="G48" s="155"/>
      <c r="H48" s="155"/>
      <c r="I48" s="155"/>
      <c r="J48" s="155"/>
      <c r="K48" s="155"/>
      <c r="L48" s="127"/>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c r="DA48" s="61"/>
      <c r="DB48" s="61"/>
      <c r="DC48" s="61"/>
      <c r="DD48" s="61"/>
      <c r="DE48" s="61"/>
      <c r="DF48" s="61"/>
      <c r="DG48" s="61"/>
      <c r="DH48" s="61"/>
      <c r="DI48" s="61"/>
      <c r="DJ48" s="61"/>
      <c r="DK48" s="61"/>
      <c r="DL48" s="61"/>
      <c r="DM48" s="61"/>
      <c r="DN48" s="61"/>
      <c r="DO48" s="61"/>
      <c r="DP48" s="61"/>
      <c r="DQ48" s="61"/>
      <c r="DR48" s="61"/>
      <c r="DS48" s="61"/>
      <c r="DT48" s="61"/>
      <c r="DU48" s="61"/>
      <c r="DV48" s="61"/>
      <c r="DW48" s="61"/>
      <c r="DX48" s="61"/>
      <c r="DY48" s="61"/>
      <c r="DZ48" s="61"/>
      <c r="EA48" s="61"/>
      <c r="EB48" s="61"/>
      <c r="EC48" s="61"/>
      <c r="ED48" s="61"/>
      <c r="EE48" s="61"/>
      <c r="EF48" s="61"/>
      <c r="EG48" s="61"/>
      <c r="EH48" s="61"/>
      <c r="EI48" s="61"/>
      <c r="EJ48" s="61"/>
      <c r="EK48" s="61"/>
      <c r="EL48" s="61"/>
      <c r="EM48" s="61"/>
      <c r="EN48" s="61"/>
      <c r="EO48" s="61"/>
      <c r="EP48" s="61"/>
      <c r="EQ48" s="61"/>
      <c r="ER48" s="61"/>
      <c r="ES48" s="61"/>
      <c r="ET48" s="61"/>
      <c r="EU48" s="61"/>
      <c r="EV48" s="61"/>
      <c r="EW48" s="61"/>
      <c r="EX48" s="61"/>
      <c r="EY48" s="61"/>
      <c r="EZ48" s="61"/>
      <c r="FA48" s="61"/>
      <c r="FB48" s="61"/>
      <c r="FC48" s="61"/>
      <c r="FD48" s="61"/>
      <c r="FE48" s="61"/>
      <c r="FF48" s="61"/>
      <c r="FG48" s="61"/>
      <c r="FH48" s="61"/>
      <c r="FI48" s="61"/>
      <c r="FJ48" s="61"/>
      <c r="FK48" s="61"/>
      <c r="FL48" s="61"/>
      <c r="FM48" s="61"/>
      <c r="FN48" s="61"/>
      <c r="FO48" s="61"/>
      <c r="FP48" s="61"/>
      <c r="FQ48" s="61"/>
      <c r="FR48" s="61"/>
      <c r="FS48" s="61"/>
      <c r="FT48" s="61"/>
      <c r="FU48" s="61"/>
      <c r="FV48" s="61"/>
      <c r="FW48" s="61"/>
      <c r="FX48" s="61"/>
      <c r="FY48" s="61"/>
      <c r="FZ48" s="61"/>
      <c r="GA48" s="61"/>
      <c r="GB48" s="61"/>
      <c r="GC48" s="61"/>
      <c r="GD48" s="61"/>
      <c r="GE48" s="61"/>
      <c r="GF48" s="61"/>
      <c r="GG48" s="61"/>
      <c r="GH48" s="61"/>
      <c r="GI48" s="61"/>
      <c r="GJ48" s="61"/>
      <c r="GK48" s="61"/>
      <c r="GL48" s="61"/>
      <c r="GM48" s="61"/>
      <c r="GN48" s="61"/>
      <c r="GO48" s="61"/>
      <c r="GP48" s="61"/>
      <c r="GQ48" s="61"/>
      <c r="GR48" s="61"/>
      <c r="GS48" s="61"/>
      <c r="GT48" s="61"/>
      <c r="GU48" s="61"/>
      <c r="GV48" s="61"/>
      <c r="GW48" s="61"/>
      <c r="GX48" s="61"/>
      <c r="GY48" s="61"/>
      <c r="GZ48" s="61"/>
      <c r="HA48" s="61"/>
      <c r="HB48" s="61"/>
      <c r="HC48" s="61"/>
      <c r="HD48" s="61"/>
      <c r="HE48" s="61"/>
      <c r="HF48" s="61"/>
      <c r="HG48" s="61"/>
      <c r="HH48" s="61"/>
      <c r="HI48" s="61"/>
      <c r="HJ48" s="61"/>
      <c r="HK48" s="61"/>
      <c r="HL48" s="61"/>
      <c r="HM48" s="61"/>
      <c r="HN48" s="61"/>
      <c r="HO48" s="61"/>
      <c r="HP48" s="61"/>
      <c r="HQ48" s="61"/>
      <c r="HR48" s="61"/>
      <c r="HS48" s="61"/>
      <c r="HT48" s="61"/>
      <c r="HU48" s="61"/>
      <c r="HV48" s="61"/>
      <c r="HW48" s="61"/>
      <c r="HX48" s="61"/>
      <c r="HY48" s="61"/>
      <c r="HZ48" s="61"/>
      <c r="IA48" s="61"/>
      <c r="IB48" s="61"/>
      <c r="IC48" s="61"/>
      <c r="ID48" s="61"/>
      <c r="IE48" s="61"/>
      <c r="IF48" s="61"/>
      <c r="IG48" s="61"/>
      <c r="IH48" s="61"/>
      <c r="II48" s="61"/>
      <c r="IJ48" s="61"/>
      <c r="IK48" s="61"/>
      <c r="IL48" s="61"/>
      <c r="IM48" s="61"/>
      <c r="IN48" s="61"/>
      <c r="IO48" s="61"/>
      <c r="IP48" s="61"/>
      <c r="IQ48" s="61"/>
      <c r="IR48" s="61"/>
      <c r="IS48" s="61"/>
      <c r="IT48" s="61"/>
      <c r="IU48" s="61"/>
      <c r="IV48" s="61"/>
      <c r="IW48" s="61"/>
      <c r="IX48" s="61"/>
      <c r="IY48" s="61"/>
      <c r="IZ48" s="61"/>
    </row>
    <row r="49" spans="1:260" s="62" customFormat="1" ht="15" customHeight="1" x14ac:dyDescent="0.2">
      <c r="A49" s="78"/>
      <c r="B49" s="78"/>
      <c r="C49" s="78"/>
      <c r="D49" s="78"/>
      <c r="E49" s="98"/>
      <c r="F49" s="98"/>
      <c r="G49" s="98"/>
      <c r="H49" s="98"/>
      <c r="I49" s="98"/>
      <c r="J49" s="94"/>
      <c r="K49" s="90"/>
      <c r="L49" s="97"/>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c r="BU49" s="61"/>
      <c r="BV49" s="61"/>
      <c r="BW49" s="61"/>
      <c r="BX49" s="61"/>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c r="DA49" s="61"/>
      <c r="DB49" s="61"/>
      <c r="DC49" s="61"/>
      <c r="DD49" s="61"/>
      <c r="DE49" s="61"/>
      <c r="DF49" s="61"/>
      <c r="DG49" s="61"/>
      <c r="DH49" s="61"/>
      <c r="DI49" s="61"/>
      <c r="DJ49" s="61"/>
      <c r="DK49" s="61"/>
      <c r="DL49" s="61"/>
      <c r="DM49" s="61"/>
      <c r="DN49" s="61"/>
      <c r="DO49" s="61"/>
      <c r="DP49" s="61"/>
      <c r="DQ49" s="61"/>
      <c r="DR49" s="61"/>
      <c r="DS49" s="61"/>
      <c r="DT49" s="61"/>
      <c r="DU49" s="61"/>
      <c r="DV49" s="61"/>
      <c r="DW49" s="61"/>
      <c r="DX49" s="61"/>
      <c r="DY49" s="61"/>
      <c r="DZ49" s="61"/>
      <c r="EA49" s="61"/>
      <c r="EB49" s="61"/>
      <c r="EC49" s="61"/>
      <c r="ED49" s="61"/>
      <c r="EE49" s="61"/>
      <c r="EF49" s="61"/>
      <c r="EG49" s="61"/>
      <c r="EH49" s="61"/>
      <c r="EI49" s="61"/>
      <c r="EJ49" s="61"/>
      <c r="EK49" s="61"/>
      <c r="EL49" s="61"/>
      <c r="EM49" s="61"/>
      <c r="EN49" s="61"/>
      <c r="EO49" s="61"/>
      <c r="EP49" s="61"/>
      <c r="EQ49" s="61"/>
      <c r="ER49" s="61"/>
      <c r="ES49" s="61"/>
      <c r="ET49" s="61"/>
      <c r="EU49" s="61"/>
      <c r="EV49" s="61"/>
      <c r="EW49" s="61"/>
      <c r="EX49" s="61"/>
      <c r="EY49" s="61"/>
      <c r="EZ49" s="61"/>
      <c r="FA49" s="61"/>
      <c r="FB49" s="61"/>
      <c r="FC49" s="61"/>
      <c r="FD49" s="61"/>
      <c r="FE49" s="61"/>
      <c r="FF49" s="61"/>
      <c r="FG49" s="61"/>
      <c r="FH49" s="61"/>
      <c r="FI49" s="61"/>
      <c r="FJ49" s="61"/>
      <c r="FK49" s="61"/>
      <c r="FL49" s="61"/>
      <c r="FM49" s="61"/>
      <c r="FN49" s="61"/>
      <c r="FO49" s="61"/>
      <c r="FP49" s="61"/>
      <c r="FQ49" s="61"/>
      <c r="FR49" s="61"/>
      <c r="FS49" s="61"/>
      <c r="FT49" s="61"/>
      <c r="FU49" s="61"/>
      <c r="FV49" s="61"/>
      <c r="FW49" s="61"/>
      <c r="FX49" s="61"/>
      <c r="FY49" s="61"/>
      <c r="FZ49" s="61"/>
      <c r="GA49" s="61"/>
      <c r="GB49" s="61"/>
      <c r="GC49" s="61"/>
      <c r="GD49" s="61"/>
      <c r="GE49" s="61"/>
      <c r="GF49" s="61"/>
      <c r="GG49" s="61"/>
      <c r="GH49" s="61"/>
      <c r="GI49" s="61"/>
      <c r="GJ49" s="61"/>
      <c r="GK49" s="61"/>
      <c r="GL49" s="61"/>
      <c r="GM49" s="61"/>
      <c r="GN49" s="61"/>
      <c r="GO49" s="61"/>
      <c r="GP49" s="61"/>
      <c r="GQ49" s="61"/>
      <c r="GR49" s="61"/>
      <c r="GS49" s="61"/>
      <c r="GT49" s="61"/>
      <c r="GU49" s="61"/>
      <c r="GV49" s="61"/>
      <c r="GW49" s="61"/>
      <c r="GX49" s="61"/>
      <c r="GY49" s="61"/>
      <c r="GZ49" s="61"/>
      <c r="HA49" s="61"/>
      <c r="HB49" s="61"/>
      <c r="HC49" s="61"/>
      <c r="HD49" s="61"/>
      <c r="HE49" s="61"/>
      <c r="HF49" s="61"/>
      <c r="HG49" s="61"/>
      <c r="HH49" s="61"/>
      <c r="HI49" s="61"/>
      <c r="HJ49" s="61"/>
      <c r="HK49" s="61"/>
      <c r="HL49" s="61"/>
      <c r="HM49" s="61"/>
      <c r="HN49" s="61"/>
      <c r="HO49" s="61"/>
      <c r="HP49" s="61"/>
      <c r="HQ49" s="61"/>
      <c r="HR49" s="61"/>
      <c r="HS49" s="61"/>
      <c r="HT49" s="61"/>
      <c r="HU49" s="61"/>
      <c r="HV49" s="61"/>
      <c r="HW49" s="61"/>
      <c r="HX49" s="61"/>
      <c r="HY49" s="61"/>
      <c r="HZ49" s="61"/>
      <c r="IA49" s="61"/>
      <c r="IB49" s="61"/>
      <c r="IC49" s="61"/>
      <c r="ID49" s="61"/>
      <c r="IE49" s="61"/>
      <c r="IF49" s="61"/>
      <c r="IG49" s="61"/>
      <c r="IH49" s="61"/>
      <c r="II49" s="61"/>
      <c r="IJ49" s="61"/>
      <c r="IK49" s="61"/>
      <c r="IL49" s="61"/>
      <c r="IM49" s="61"/>
      <c r="IN49" s="61"/>
      <c r="IO49" s="61"/>
      <c r="IP49" s="61"/>
      <c r="IQ49" s="61"/>
      <c r="IR49" s="61"/>
      <c r="IS49" s="61"/>
      <c r="IT49" s="61"/>
      <c r="IU49" s="61"/>
      <c r="IV49" s="61"/>
      <c r="IW49" s="61"/>
      <c r="IX49" s="61"/>
      <c r="IY49" s="61"/>
      <c r="IZ49" s="61"/>
    </row>
    <row r="50" spans="1:260" s="62" customFormat="1" ht="15" customHeight="1" x14ac:dyDescent="0.2">
      <c r="A50" s="78"/>
      <c r="B50" s="78"/>
      <c r="C50" s="78"/>
      <c r="D50" s="78"/>
      <c r="E50" s="86"/>
      <c r="F50" s="86"/>
      <c r="G50" s="86"/>
      <c r="H50" s="86"/>
      <c r="I50" s="86"/>
      <c r="J50" s="94"/>
      <c r="K50" s="90"/>
      <c r="L50" s="97"/>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1"/>
      <c r="CL50" s="61"/>
      <c r="CM50" s="61"/>
      <c r="CN50" s="61"/>
      <c r="CO50" s="61"/>
      <c r="CP50" s="61"/>
      <c r="CQ50" s="61"/>
      <c r="CR50" s="61"/>
      <c r="CS50" s="61"/>
      <c r="CT50" s="61"/>
      <c r="CU50" s="61"/>
      <c r="CV50" s="61"/>
      <c r="CW50" s="61"/>
      <c r="CX50" s="61"/>
      <c r="CY50" s="61"/>
      <c r="CZ50" s="61"/>
      <c r="DA50" s="61"/>
      <c r="DB50" s="61"/>
      <c r="DC50" s="61"/>
      <c r="DD50" s="61"/>
      <c r="DE50" s="61"/>
      <c r="DF50" s="61"/>
      <c r="DG50" s="61"/>
      <c r="DH50" s="61"/>
      <c r="DI50" s="61"/>
      <c r="DJ50" s="61"/>
      <c r="DK50" s="61"/>
      <c r="DL50" s="61"/>
      <c r="DM50" s="61"/>
      <c r="DN50" s="61"/>
      <c r="DO50" s="61"/>
      <c r="DP50" s="61"/>
      <c r="DQ50" s="61"/>
      <c r="DR50" s="61"/>
      <c r="DS50" s="61"/>
      <c r="DT50" s="61"/>
      <c r="DU50" s="61"/>
      <c r="DV50" s="61"/>
      <c r="DW50" s="61"/>
      <c r="DX50" s="61"/>
      <c r="DY50" s="61"/>
      <c r="DZ50" s="61"/>
      <c r="EA50" s="61"/>
      <c r="EB50" s="61"/>
      <c r="EC50" s="61"/>
      <c r="ED50" s="61"/>
      <c r="EE50" s="61"/>
      <c r="EF50" s="61"/>
      <c r="EG50" s="61"/>
      <c r="EH50" s="61"/>
      <c r="EI50" s="61"/>
      <c r="EJ50" s="61"/>
      <c r="EK50" s="61"/>
      <c r="EL50" s="61"/>
      <c r="EM50" s="61"/>
      <c r="EN50" s="61"/>
      <c r="EO50" s="61"/>
      <c r="EP50" s="61"/>
      <c r="EQ50" s="61"/>
      <c r="ER50" s="61"/>
      <c r="ES50" s="61"/>
      <c r="ET50" s="61"/>
      <c r="EU50" s="61"/>
      <c r="EV50" s="61"/>
      <c r="EW50" s="61"/>
      <c r="EX50" s="61"/>
      <c r="EY50" s="61"/>
      <c r="EZ50" s="61"/>
      <c r="FA50" s="61"/>
      <c r="FB50" s="61"/>
      <c r="FC50" s="61"/>
      <c r="FD50" s="61"/>
      <c r="FE50" s="61"/>
      <c r="FF50" s="61"/>
      <c r="FG50" s="61"/>
      <c r="FH50" s="61"/>
      <c r="FI50" s="61"/>
      <c r="FJ50" s="61"/>
      <c r="FK50" s="61"/>
      <c r="FL50" s="61"/>
      <c r="FM50" s="61"/>
      <c r="FN50" s="61"/>
      <c r="FO50" s="61"/>
      <c r="FP50" s="61"/>
      <c r="FQ50" s="61"/>
      <c r="FR50" s="61"/>
      <c r="FS50" s="61"/>
      <c r="FT50" s="61"/>
      <c r="FU50" s="61"/>
      <c r="FV50" s="61"/>
      <c r="FW50" s="61"/>
      <c r="FX50" s="61"/>
      <c r="FY50" s="61"/>
      <c r="FZ50" s="61"/>
      <c r="GA50" s="61"/>
      <c r="GB50" s="61"/>
      <c r="GC50" s="61"/>
      <c r="GD50" s="61"/>
      <c r="GE50" s="61"/>
      <c r="GF50" s="61"/>
      <c r="GG50" s="61"/>
      <c r="GH50" s="61"/>
      <c r="GI50" s="61"/>
      <c r="GJ50" s="61"/>
      <c r="GK50" s="61"/>
      <c r="GL50" s="61"/>
      <c r="GM50" s="61"/>
      <c r="GN50" s="61"/>
      <c r="GO50" s="61"/>
      <c r="GP50" s="61"/>
      <c r="GQ50" s="61"/>
      <c r="GR50" s="61"/>
      <c r="GS50" s="61"/>
      <c r="GT50" s="61"/>
      <c r="GU50" s="61"/>
      <c r="GV50" s="61"/>
      <c r="GW50" s="61"/>
      <c r="GX50" s="61"/>
      <c r="GY50" s="61"/>
      <c r="GZ50" s="61"/>
      <c r="HA50" s="61"/>
      <c r="HB50" s="61"/>
      <c r="HC50" s="61"/>
      <c r="HD50" s="61"/>
      <c r="HE50" s="61"/>
      <c r="HF50" s="61"/>
      <c r="HG50" s="61"/>
      <c r="HH50" s="61"/>
      <c r="HI50" s="61"/>
      <c r="HJ50" s="61"/>
      <c r="HK50" s="61"/>
      <c r="HL50" s="61"/>
      <c r="HM50" s="61"/>
      <c r="HN50" s="61"/>
      <c r="HO50" s="61"/>
      <c r="HP50" s="61"/>
      <c r="HQ50" s="61"/>
      <c r="HR50" s="61"/>
      <c r="HS50" s="61"/>
      <c r="HT50" s="61"/>
      <c r="HU50" s="61"/>
      <c r="HV50" s="61"/>
      <c r="HW50" s="61"/>
      <c r="HX50" s="61"/>
      <c r="HY50" s="61"/>
      <c r="HZ50" s="61"/>
      <c r="IA50" s="61"/>
      <c r="IB50" s="61"/>
      <c r="IC50" s="61"/>
      <c r="ID50" s="61"/>
      <c r="IE50" s="61"/>
      <c r="IF50" s="61"/>
      <c r="IG50" s="61"/>
      <c r="IH50" s="61"/>
      <c r="II50" s="61"/>
      <c r="IJ50" s="61"/>
      <c r="IK50" s="61"/>
      <c r="IL50" s="61"/>
      <c r="IM50" s="61"/>
      <c r="IN50" s="61"/>
      <c r="IO50" s="61"/>
      <c r="IP50" s="61"/>
      <c r="IQ50" s="61"/>
      <c r="IR50" s="61"/>
      <c r="IS50" s="61"/>
      <c r="IT50" s="61"/>
      <c r="IU50" s="61"/>
      <c r="IV50" s="61"/>
      <c r="IW50" s="61"/>
      <c r="IX50" s="61"/>
      <c r="IY50" s="61"/>
      <c r="IZ50" s="61"/>
    </row>
    <row r="51" spans="1:260" s="62" customFormat="1" ht="15" customHeight="1" x14ac:dyDescent="0.2">
      <c r="A51" s="78"/>
      <c r="B51" s="78"/>
      <c r="C51" s="78"/>
      <c r="D51" s="78"/>
      <c r="E51" s="86"/>
      <c r="F51" s="86"/>
      <c r="G51" s="86"/>
      <c r="H51" s="86"/>
      <c r="I51" s="86"/>
      <c r="J51" s="94"/>
      <c r="K51" s="90"/>
      <c r="L51" s="97"/>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c r="DA51" s="61"/>
      <c r="DB51" s="61"/>
      <c r="DC51" s="61"/>
      <c r="DD51" s="61"/>
      <c r="DE51" s="61"/>
      <c r="DF51" s="61"/>
      <c r="DG51" s="61"/>
      <c r="DH51" s="61"/>
      <c r="DI51" s="61"/>
      <c r="DJ51" s="61"/>
      <c r="DK51" s="61"/>
      <c r="DL51" s="61"/>
      <c r="DM51" s="61"/>
      <c r="DN51" s="61"/>
      <c r="DO51" s="61"/>
      <c r="DP51" s="61"/>
      <c r="DQ51" s="61"/>
      <c r="DR51" s="61"/>
      <c r="DS51" s="61"/>
      <c r="DT51" s="61"/>
      <c r="DU51" s="61"/>
      <c r="DV51" s="61"/>
      <c r="DW51" s="61"/>
      <c r="DX51" s="61"/>
      <c r="DY51" s="61"/>
      <c r="DZ51" s="61"/>
      <c r="EA51" s="61"/>
      <c r="EB51" s="61"/>
      <c r="EC51" s="61"/>
      <c r="ED51" s="61"/>
      <c r="EE51" s="61"/>
      <c r="EF51" s="61"/>
      <c r="EG51" s="61"/>
      <c r="EH51" s="61"/>
      <c r="EI51" s="61"/>
      <c r="EJ51" s="61"/>
      <c r="EK51" s="61"/>
      <c r="EL51" s="61"/>
      <c r="EM51" s="61"/>
      <c r="EN51" s="61"/>
      <c r="EO51" s="61"/>
      <c r="EP51" s="61"/>
      <c r="EQ51" s="61"/>
      <c r="ER51" s="61"/>
      <c r="ES51" s="61"/>
      <c r="ET51" s="61"/>
      <c r="EU51" s="61"/>
      <c r="EV51" s="61"/>
      <c r="EW51" s="61"/>
      <c r="EX51" s="61"/>
      <c r="EY51" s="61"/>
      <c r="EZ51" s="61"/>
      <c r="FA51" s="61"/>
      <c r="FB51" s="61"/>
      <c r="FC51" s="61"/>
      <c r="FD51" s="61"/>
      <c r="FE51" s="61"/>
      <c r="FF51" s="61"/>
      <c r="FG51" s="61"/>
      <c r="FH51" s="61"/>
      <c r="FI51" s="61"/>
      <c r="FJ51" s="61"/>
      <c r="FK51" s="61"/>
      <c r="FL51" s="61"/>
      <c r="FM51" s="61"/>
      <c r="FN51" s="61"/>
      <c r="FO51" s="61"/>
      <c r="FP51" s="61"/>
      <c r="FQ51" s="61"/>
      <c r="FR51" s="61"/>
      <c r="FS51" s="61"/>
      <c r="FT51" s="61"/>
      <c r="FU51" s="61"/>
      <c r="FV51" s="61"/>
      <c r="FW51" s="61"/>
      <c r="FX51" s="61"/>
      <c r="FY51" s="61"/>
      <c r="FZ51" s="61"/>
      <c r="GA51" s="61"/>
      <c r="GB51" s="61"/>
      <c r="GC51" s="61"/>
      <c r="GD51" s="61"/>
      <c r="GE51" s="61"/>
      <c r="GF51" s="61"/>
      <c r="GG51" s="61"/>
      <c r="GH51" s="61"/>
      <c r="GI51" s="61"/>
      <c r="GJ51" s="61"/>
      <c r="GK51" s="61"/>
      <c r="GL51" s="61"/>
      <c r="GM51" s="61"/>
      <c r="GN51" s="61"/>
      <c r="GO51" s="61"/>
      <c r="GP51" s="61"/>
      <c r="GQ51" s="61"/>
      <c r="GR51" s="61"/>
      <c r="GS51" s="61"/>
      <c r="GT51" s="61"/>
      <c r="GU51" s="61"/>
      <c r="GV51" s="61"/>
      <c r="GW51" s="61"/>
      <c r="GX51" s="61"/>
      <c r="GY51" s="61"/>
      <c r="GZ51" s="61"/>
      <c r="HA51" s="61"/>
      <c r="HB51" s="61"/>
      <c r="HC51" s="61"/>
      <c r="HD51" s="61"/>
      <c r="HE51" s="61"/>
      <c r="HF51" s="61"/>
      <c r="HG51" s="61"/>
      <c r="HH51" s="61"/>
      <c r="HI51" s="61"/>
      <c r="HJ51" s="61"/>
      <c r="HK51" s="61"/>
      <c r="HL51" s="61"/>
      <c r="HM51" s="61"/>
      <c r="HN51" s="61"/>
      <c r="HO51" s="61"/>
      <c r="HP51" s="61"/>
      <c r="HQ51" s="61"/>
      <c r="HR51" s="61"/>
      <c r="HS51" s="61"/>
      <c r="HT51" s="61"/>
      <c r="HU51" s="61"/>
      <c r="HV51" s="61"/>
      <c r="HW51" s="61"/>
      <c r="HX51" s="61"/>
      <c r="HY51" s="61"/>
      <c r="HZ51" s="61"/>
      <c r="IA51" s="61"/>
      <c r="IB51" s="61"/>
      <c r="IC51" s="61"/>
      <c r="ID51" s="61"/>
      <c r="IE51" s="61"/>
      <c r="IF51" s="61"/>
      <c r="IG51" s="61"/>
      <c r="IH51" s="61"/>
      <c r="II51" s="61"/>
      <c r="IJ51" s="61"/>
      <c r="IK51" s="61"/>
      <c r="IL51" s="61"/>
      <c r="IM51" s="61"/>
      <c r="IN51" s="61"/>
      <c r="IO51" s="61"/>
      <c r="IP51" s="61"/>
      <c r="IQ51" s="61"/>
      <c r="IR51" s="61"/>
      <c r="IS51" s="61"/>
      <c r="IT51" s="61"/>
      <c r="IU51" s="61"/>
      <c r="IV51" s="61"/>
      <c r="IW51" s="61"/>
      <c r="IX51" s="61"/>
      <c r="IY51" s="61"/>
      <c r="IZ51" s="61"/>
    </row>
    <row r="52" spans="1:260" s="62" customFormat="1" ht="15" customHeight="1" x14ac:dyDescent="0.2">
      <c r="A52" s="78"/>
      <c r="B52" s="78"/>
      <c r="C52" s="78"/>
      <c r="D52" s="78"/>
      <c r="E52" s="86"/>
      <c r="F52" s="86"/>
      <c r="G52" s="86"/>
      <c r="H52" s="86"/>
      <c r="I52" s="86"/>
      <c r="J52" s="94"/>
      <c r="K52" s="90"/>
      <c r="L52" s="97"/>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61"/>
      <c r="DE52" s="61"/>
      <c r="DF52" s="61"/>
      <c r="DG52" s="61"/>
      <c r="DH52" s="61"/>
      <c r="DI52" s="61"/>
      <c r="DJ52" s="61"/>
      <c r="DK52" s="61"/>
      <c r="DL52" s="61"/>
      <c r="DM52" s="61"/>
      <c r="DN52" s="61"/>
      <c r="DO52" s="61"/>
      <c r="DP52" s="61"/>
      <c r="DQ52" s="61"/>
      <c r="DR52" s="61"/>
      <c r="DS52" s="61"/>
      <c r="DT52" s="61"/>
      <c r="DU52" s="61"/>
      <c r="DV52" s="61"/>
      <c r="DW52" s="61"/>
      <c r="DX52" s="61"/>
      <c r="DY52" s="61"/>
      <c r="DZ52" s="61"/>
      <c r="EA52" s="61"/>
      <c r="EB52" s="61"/>
      <c r="EC52" s="61"/>
      <c r="ED52" s="61"/>
      <c r="EE52" s="61"/>
      <c r="EF52" s="61"/>
      <c r="EG52" s="61"/>
      <c r="EH52" s="61"/>
      <c r="EI52" s="61"/>
      <c r="EJ52" s="61"/>
      <c r="EK52" s="61"/>
      <c r="EL52" s="61"/>
      <c r="EM52" s="61"/>
      <c r="EN52" s="61"/>
      <c r="EO52" s="61"/>
      <c r="EP52" s="61"/>
      <c r="EQ52" s="61"/>
      <c r="ER52" s="61"/>
      <c r="ES52" s="61"/>
      <c r="ET52" s="61"/>
      <c r="EU52" s="61"/>
      <c r="EV52" s="61"/>
      <c r="EW52" s="61"/>
      <c r="EX52" s="61"/>
      <c r="EY52" s="61"/>
      <c r="EZ52" s="61"/>
      <c r="FA52" s="61"/>
      <c r="FB52" s="61"/>
      <c r="FC52" s="61"/>
      <c r="FD52" s="61"/>
      <c r="FE52" s="61"/>
      <c r="FF52" s="61"/>
      <c r="FG52" s="61"/>
      <c r="FH52" s="61"/>
      <c r="FI52" s="61"/>
      <c r="FJ52" s="61"/>
      <c r="FK52" s="61"/>
      <c r="FL52" s="61"/>
      <c r="FM52" s="61"/>
      <c r="FN52" s="61"/>
      <c r="FO52" s="61"/>
      <c r="FP52" s="61"/>
      <c r="FQ52" s="61"/>
      <c r="FR52" s="61"/>
      <c r="FS52" s="61"/>
      <c r="FT52" s="61"/>
      <c r="FU52" s="61"/>
      <c r="FV52" s="61"/>
      <c r="FW52" s="61"/>
      <c r="FX52" s="61"/>
      <c r="FY52" s="61"/>
      <c r="FZ52" s="61"/>
      <c r="GA52" s="61"/>
      <c r="GB52" s="61"/>
      <c r="GC52" s="61"/>
      <c r="GD52" s="61"/>
      <c r="GE52" s="61"/>
      <c r="GF52" s="61"/>
      <c r="GG52" s="61"/>
      <c r="GH52" s="61"/>
      <c r="GI52" s="61"/>
      <c r="GJ52" s="61"/>
      <c r="GK52" s="61"/>
      <c r="GL52" s="61"/>
      <c r="GM52" s="61"/>
      <c r="GN52" s="61"/>
      <c r="GO52" s="61"/>
      <c r="GP52" s="61"/>
      <c r="GQ52" s="61"/>
      <c r="GR52" s="61"/>
      <c r="GS52" s="61"/>
      <c r="GT52" s="61"/>
      <c r="GU52" s="61"/>
      <c r="GV52" s="61"/>
      <c r="GW52" s="61"/>
      <c r="GX52" s="61"/>
      <c r="GY52" s="61"/>
      <c r="GZ52" s="61"/>
      <c r="HA52" s="61"/>
      <c r="HB52" s="61"/>
      <c r="HC52" s="61"/>
      <c r="HD52" s="61"/>
      <c r="HE52" s="61"/>
      <c r="HF52" s="61"/>
      <c r="HG52" s="61"/>
      <c r="HH52" s="61"/>
      <c r="HI52" s="61"/>
      <c r="HJ52" s="61"/>
      <c r="HK52" s="61"/>
      <c r="HL52" s="61"/>
      <c r="HM52" s="61"/>
      <c r="HN52" s="61"/>
      <c r="HO52" s="61"/>
      <c r="HP52" s="61"/>
      <c r="HQ52" s="61"/>
      <c r="HR52" s="61"/>
      <c r="HS52" s="61"/>
      <c r="HT52" s="61"/>
      <c r="HU52" s="61"/>
      <c r="HV52" s="61"/>
      <c r="HW52" s="61"/>
      <c r="HX52" s="61"/>
      <c r="HY52" s="61"/>
      <c r="HZ52" s="61"/>
      <c r="IA52" s="61"/>
      <c r="IB52" s="61"/>
      <c r="IC52" s="61"/>
      <c r="ID52" s="61"/>
      <c r="IE52" s="61"/>
      <c r="IF52" s="61"/>
      <c r="IG52" s="61"/>
      <c r="IH52" s="61"/>
      <c r="II52" s="61"/>
      <c r="IJ52" s="61"/>
      <c r="IK52" s="61"/>
      <c r="IL52" s="61"/>
      <c r="IM52" s="61"/>
      <c r="IN52" s="61"/>
      <c r="IO52" s="61"/>
      <c r="IP52" s="61"/>
      <c r="IQ52" s="61"/>
      <c r="IR52" s="61"/>
      <c r="IS52" s="61"/>
      <c r="IT52" s="61"/>
      <c r="IU52" s="61"/>
      <c r="IV52" s="61"/>
      <c r="IW52" s="61"/>
      <c r="IX52" s="61"/>
      <c r="IY52" s="61"/>
      <c r="IZ52" s="61"/>
    </row>
    <row r="53" spans="1:260" s="62" customFormat="1" ht="15" customHeight="1" x14ac:dyDescent="0.2">
      <c r="A53" s="78"/>
      <c r="B53" s="78"/>
      <c r="C53" s="78"/>
      <c r="D53" s="78"/>
      <c r="E53" s="86"/>
      <c r="F53" s="86"/>
      <c r="G53" s="86"/>
      <c r="H53" s="86"/>
      <c r="I53" s="86"/>
      <c r="J53" s="94"/>
      <c r="K53" s="90"/>
      <c r="L53" s="97"/>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c r="DA53" s="61"/>
      <c r="DB53" s="61"/>
      <c r="DC53" s="61"/>
      <c r="DD53" s="61"/>
      <c r="DE53" s="61"/>
      <c r="DF53" s="61"/>
      <c r="DG53" s="61"/>
      <c r="DH53" s="61"/>
      <c r="DI53" s="61"/>
      <c r="DJ53" s="61"/>
      <c r="DK53" s="61"/>
      <c r="DL53" s="61"/>
      <c r="DM53" s="61"/>
      <c r="DN53" s="61"/>
      <c r="DO53" s="61"/>
      <c r="DP53" s="61"/>
      <c r="DQ53" s="61"/>
      <c r="DR53" s="61"/>
      <c r="DS53" s="61"/>
      <c r="DT53" s="61"/>
      <c r="DU53" s="61"/>
      <c r="DV53" s="61"/>
      <c r="DW53" s="61"/>
      <c r="DX53" s="61"/>
      <c r="DY53" s="61"/>
      <c r="DZ53" s="61"/>
      <c r="EA53" s="61"/>
      <c r="EB53" s="61"/>
      <c r="EC53" s="61"/>
      <c r="ED53" s="61"/>
      <c r="EE53" s="61"/>
      <c r="EF53" s="61"/>
      <c r="EG53" s="61"/>
      <c r="EH53" s="61"/>
      <c r="EI53" s="61"/>
      <c r="EJ53" s="61"/>
      <c r="EK53" s="61"/>
      <c r="EL53" s="61"/>
      <c r="EM53" s="61"/>
      <c r="EN53" s="61"/>
      <c r="EO53" s="61"/>
      <c r="EP53" s="61"/>
      <c r="EQ53" s="61"/>
      <c r="ER53" s="61"/>
      <c r="ES53" s="61"/>
      <c r="ET53" s="61"/>
      <c r="EU53" s="61"/>
      <c r="EV53" s="61"/>
      <c r="EW53" s="61"/>
      <c r="EX53" s="61"/>
      <c r="EY53" s="61"/>
      <c r="EZ53" s="61"/>
      <c r="FA53" s="61"/>
      <c r="FB53" s="61"/>
      <c r="FC53" s="61"/>
      <c r="FD53" s="61"/>
      <c r="FE53" s="61"/>
      <c r="FF53" s="61"/>
      <c r="FG53" s="61"/>
      <c r="FH53" s="61"/>
      <c r="FI53" s="61"/>
      <c r="FJ53" s="61"/>
      <c r="FK53" s="61"/>
      <c r="FL53" s="61"/>
      <c r="FM53" s="61"/>
      <c r="FN53" s="61"/>
      <c r="FO53" s="61"/>
      <c r="FP53" s="61"/>
      <c r="FQ53" s="61"/>
      <c r="FR53" s="61"/>
      <c r="FS53" s="61"/>
      <c r="FT53" s="61"/>
      <c r="FU53" s="61"/>
      <c r="FV53" s="61"/>
      <c r="FW53" s="61"/>
      <c r="FX53" s="61"/>
      <c r="FY53" s="61"/>
      <c r="FZ53" s="61"/>
      <c r="GA53" s="61"/>
      <c r="GB53" s="61"/>
      <c r="GC53" s="61"/>
      <c r="GD53" s="61"/>
      <c r="GE53" s="61"/>
      <c r="GF53" s="61"/>
      <c r="GG53" s="61"/>
      <c r="GH53" s="61"/>
      <c r="GI53" s="61"/>
      <c r="GJ53" s="61"/>
      <c r="GK53" s="61"/>
      <c r="GL53" s="61"/>
      <c r="GM53" s="61"/>
      <c r="GN53" s="61"/>
      <c r="GO53" s="61"/>
      <c r="GP53" s="61"/>
      <c r="GQ53" s="61"/>
      <c r="GR53" s="61"/>
      <c r="GS53" s="61"/>
      <c r="GT53" s="61"/>
      <c r="GU53" s="61"/>
      <c r="GV53" s="61"/>
      <c r="GW53" s="61"/>
      <c r="GX53" s="61"/>
      <c r="GY53" s="61"/>
      <c r="GZ53" s="61"/>
      <c r="HA53" s="61"/>
      <c r="HB53" s="61"/>
      <c r="HC53" s="61"/>
      <c r="HD53" s="61"/>
      <c r="HE53" s="61"/>
      <c r="HF53" s="61"/>
      <c r="HG53" s="61"/>
      <c r="HH53" s="61"/>
      <c r="HI53" s="61"/>
      <c r="HJ53" s="61"/>
      <c r="HK53" s="61"/>
      <c r="HL53" s="61"/>
      <c r="HM53" s="61"/>
      <c r="HN53" s="61"/>
      <c r="HO53" s="61"/>
      <c r="HP53" s="61"/>
      <c r="HQ53" s="61"/>
      <c r="HR53" s="61"/>
      <c r="HS53" s="61"/>
      <c r="HT53" s="61"/>
      <c r="HU53" s="61"/>
      <c r="HV53" s="61"/>
      <c r="HW53" s="61"/>
      <c r="HX53" s="61"/>
      <c r="HY53" s="61"/>
      <c r="HZ53" s="61"/>
      <c r="IA53" s="61"/>
      <c r="IB53" s="61"/>
      <c r="IC53" s="61"/>
      <c r="ID53" s="61"/>
      <c r="IE53" s="61"/>
      <c r="IF53" s="61"/>
      <c r="IG53" s="61"/>
      <c r="IH53" s="61"/>
      <c r="II53" s="61"/>
      <c r="IJ53" s="61"/>
      <c r="IK53" s="61"/>
      <c r="IL53" s="61"/>
      <c r="IM53" s="61"/>
      <c r="IN53" s="61"/>
      <c r="IO53" s="61"/>
      <c r="IP53" s="61"/>
      <c r="IQ53" s="61"/>
      <c r="IR53" s="61"/>
      <c r="IS53" s="61"/>
      <c r="IT53" s="61"/>
      <c r="IU53" s="61"/>
      <c r="IV53" s="61"/>
      <c r="IW53" s="61"/>
      <c r="IX53" s="61"/>
      <c r="IY53" s="61"/>
      <c r="IZ53" s="61"/>
    </row>
    <row r="54" spans="1:260" s="62" customFormat="1" ht="15" customHeight="1" x14ac:dyDescent="0.2">
      <c r="A54" s="78"/>
      <c r="B54" s="78"/>
      <c r="C54" s="78"/>
      <c r="D54" s="78"/>
      <c r="E54" s="167" t="s">
        <v>620</v>
      </c>
      <c r="F54" s="167"/>
      <c r="G54" s="167"/>
      <c r="H54" s="167"/>
      <c r="I54" s="167"/>
      <c r="J54" s="167"/>
      <c r="K54" s="167"/>
      <c r="L54" s="167"/>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61"/>
      <c r="DE54" s="61"/>
      <c r="DF54" s="61"/>
      <c r="DG54" s="61"/>
      <c r="DH54" s="61"/>
      <c r="DI54" s="61"/>
      <c r="DJ54" s="61"/>
      <c r="DK54" s="61"/>
      <c r="DL54" s="61"/>
      <c r="DM54" s="61"/>
      <c r="DN54" s="61"/>
      <c r="DO54" s="61"/>
      <c r="DP54" s="61"/>
      <c r="DQ54" s="61"/>
      <c r="DR54" s="61"/>
      <c r="DS54" s="61"/>
      <c r="DT54" s="61"/>
      <c r="DU54" s="61"/>
      <c r="DV54" s="61"/>
      <c r="DW54" s="61"/>
      <c r="DX54" s="61"/>
      <c r="DY54" s="61"/>
      <c r="DZ54" s="61"/>
      <c r="EA54" s="61"/>
      <c r="EB54" s="61"/>
      <c r="EC54" s="61"/>
      <c r="ED54" s="61"/>
      <c r="EE54" s="61"/>
      <c r="EF54" s="61"/>
      <c r="EG54" s="61"/>
      <c r="EH54" s="61"/>
      <c r="EI54" s="61"/>
      <c r="EJ54" s="61"/>
      <c r="EK54" s="61"/>
      <c r="EL54" s="61"/>
      <c r="EM54" s="61"/>
      <c r="EN54" s="61"/>
      <c r="EO54" s="61"/>
      <c r="EP54" s="61"/>
      <c r="EQ54" s="61"/>
      <c r="ER54" s="61"/>
      <c r="ES54" s="61"/>
      <c r="ET54" s="61"/>
      <c r="EU54" s="61"/>
      <c r="EV54" s="61"/>
      <c r="EW54" s="61"/>
      <c r="EX54" s="61"/>
      <c r="EY54" s="61"/>
      <c r="EZ54" s="61"/>
      <c r="FA54" s="61"/>
      <c r="FB54" s="61"/>
      <c r="FC54" s="61"/>
      <c r="FD54" s="61"/>
      <c r="FE54" s="61"/>
      <c r="FF54" s="61"/>
      <c r="FG54" s="61"/>
      <c r="FH54" s="61"/>
      <c r="FI54" s="61"/>
      <c r="FJ54" s="61"/>
      <c r="FK54" s="61"/>
      <c r="FL54" s="61"/>
      <c r="FM54" s="61"/>
      <c r="FN54" s="61"/>
      <c r="FO54" s="61"/>
      <c r="FP54" s="61"/>
      <c r="FQ54" s="61"/>
      <c r="FR54" s="61"/>
      <c r="FS54" s="61"/>
      <c r="FT54" s="61"/>
      <c r="FU54" s="61"/>
      <c r="FV54" s="61"/>
      <c r="FW54" s="61"/>
      <c r="FX54" s="61"/>
      <c r="FY54" s="61"/>
      <c r="FZ54" s="61"/>
      <c r="GA54" s="61"/>
      <c r="GB54" s="61"/>
      <c r="GC54" s="61"/>
      <c r="GD54" s="61"/>
      <c r="GE54" s="61"/>
      <c r="GF54" s="61"/>
      <c r="GG54" s="61"/>
      <c r="GH54" s="61"/>
      <c r="GI54" s="61"/>
      <c r="GJ54" s="61"/>
      <c r="GK54" s="61"/>
      <c r="GL54" s="61"/>
      <c r="GM54" s="61"/>
      <c r="GN54" s="61"/>
      <c r="GO54" s="61"/>
      <c r="GP54" s="61"/>
      <c r="GQ54" s="61"/>
      <c r="GR54" s="61"/>
      <c r="GS54" s="61"/>
      <c r="GT54" s="61"/>
      <c r="GU54" s="61"/>
      <c r="GV54" s="61"/>
      <c r="GW54" s="61"/>
      <c r="GX54" s="61"/>
      <c r="GY54" s="61"/>
      <c r="GZ54" s="61"/>
      <c r="HA54" s="61"/>
      <c r="HB54" s="61"/>
      <c r="HC54" s="61"/>
      <c r="HD54" s="61"/>
      <c r="HE54" s="61"/>
      <c r="HF54" s="61"/>
      <c r="HG54" s="61"/>
      <c r="HH54" s="61"/>
      <c r="HI54" s="61"/>
      <c r="HJ54" s="61"/>
      <c r="HK54" s="61"/>
      <c r="HL54" s="61"/>
      <c r="HM54" s="61"/>
      <c r="HN54" s="61"/>
      <c r="HO54" s="61"/>
      <c r="HP54" s="61"/>
      <c r="HQ54" s="61"/>
      <c r="HR54" s="61"/>
      <c r="HS54" s="61"/>
      <c r="HT54" s="61"/>
      <c r="HU54" s="61"/>
      <c r="HV54" s="61"/>
      <c r="HW54" s="61"/>
      <c r="HX54" s="61"/>
      <c r="HY54" s="61"/>
      <c r="HZ54" s="61"/>
      <c r="IA54" s="61"/>
      <c r="IB54" s="61"/>
      <c r="IC54" s="61"/>
      <c r="ID54" s="61"/>
      <c r="IE54" s="61"/>
      <c r="IF54" s="61"/>
      <c r="IG54" s="61"/>
      <c r="IH54" s="61"/>
      <c r="II54" s="61"/>
      <c r="IJ54" s="61"/>
      <c r="IK54" s="61"/>
      <c r="IL54" s="61"/>
      <c r="IM54" s="61"/>
      <c r="IN54" s="61"/>
      <c r="IO54" s="61"/>
      <c r="IP54" s="61"/>
      <c r="IQ54" s="61"/>
      <c r="IR54" s="61"/>
      <c r="IS54" s="61"/>
      <c r="IT54" s="61"/>
      <c r="IU54" s="61"/>
      <c r="IV54" s="61"/>
      <c r="IW54" s="61"/>
      <c r="IX54" s="61"/>
      <c r="IY54" s="61"/>
      <c r="IZ54" s="61"/>
    </row>
    <row r="55" spans="1:260" s="62" customFormat="1" ht="15" customHeight="1" x14ac:dyDescent="0.2">
      <c r="A55" s="78"/>
      <c r="B55" s="78"/>
      <c r="C55" s="78"/>
      <c r="D55" s="78"/>
      <c r="E55" s="167"/>
      <c r="F55" s="167"/>
      <c r="G55" s="167"/>
      <c r="H55" s="167"/>
      <c r="I55" s="167"/>
      <c r="J55" s="167"/>
      <c r="K55" s="167"/>
      <c r="L55" s="167"/>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c r="DA55" s="61"/>
      <c r="DB55" s="61"/>
      <c r="DC55" s="61"/>
      <c r="DD55" s="61"/>
      <c r="DE55" s="61"/>
      <c r="DF55" s="61"/>
      <c r="DG55" s="61"/>
      <c r="DH55" s="61"/>
      <c r="DI55" s="61"/>
      <c r="DJ55" s="61"/>
      <c r="DK55" s="61"/>
      <c r="DL55" s="61"/>
      <c r="DM55" s="61"/>
      <c r="DN55" s="61"/>
      <c r="DO55" s="61"/>
      <c r="DP55" s="61"/>
      <c r="DQ55" s="61"/>
      <c r="DR55" s="61"/>
      <c r="DS55" s="61"/>
      <c r="DT55" s="61"/>
      <c r="DU55" s="61"/>
      <c r="DV55" s="61"/>
      <c r="DW55" s="61"/>
      <c r="DX55" s="61"/>
      <c r="DY55" s="61"/>
      <c r="DZ55" s="61"/>
      <c r="EA55" s="61"/>
      <c r="EB55" s="61"/>
      <c r="EC55" s="61"/>
      <c r="ED55" s="61"/>
      <c r="EE55" s="61"/>
      <c r="EF55" s="61"/>
      <c r="EG55" s="61"/>
      <c r="EH55" s="61"/>
      <c r="EI55" s="61"/>
      <c r="EJ55" s="61"/>
      <c r="EK55" s="61"/>
      <c r="EL55" s="61"/>
      <c r="EM55" s="61"/>
      <c r="EN55" s="61"/>
      <c r="EO55" s="61"/>
      <c r="EP55" s="61"/>
      <c r="EQ55" s="61"/>
      <c r="ER55" s="61"/>
      <c r="ES55" s="61"/>
      <c r="ET55" s="61"/>
      <c r="EU55" s="61"/>
      <c r="EV55" s="61"/>
      <c r="EW55" s="61"/>
      <c r="EX55" s="61"/>
      <c r="EY55" s="61"/>
      <c r="EZ55" s="61"/>
      <c r="FA55" s="61"/>
      <c r="FB55" s="61"/>
      <c r="FC55" s="61"/>
      <c r="FD55" s="61"/>
      <c r="FE55" s="61"/>
      <c r="FF55" s="61"/>
      <c r="FG55" s="61"/>
      <c r="FH55" s="61"/>
      <c r="FI55" s="61"/>
      <c r="FJ55" s="61"/>
      <c r="FK55" s="61"/>
      <c r="FL55" s="61"/>
      <c r="FM55" s="61"/>
      <c r="FN55" s="61"/>
      <c r="FO55" s="61"/>
      <c r="FP55" s="61"/>
      <c r="FQ55" s="61"/>
      <c r="FR55" s="61"/>
      <c r="FS55" s="61"/>
      <c r="FT55" s="61"/>
      <c r="FU55" s="61"/>
      <c r="FV55" s="61"/>
      <c r="FW55" s="61"/>
      <c r="FX55" s="61"/>
      <c r="FY55" s="61"/>
      <c r="FZ55" s="61"/>
      <c r="GA55" s="61"/>
      <c r="GB55" s="61"/>
      <c r="GC55" s="61"/>
      <c r="GD55" s="61"/>
      <c r="GE55" s="61"/>
      <c r="GF55" s="61"/>
      <c r="GG55" s="61"/>
      <c r="GH55" s="61"/>
      <c r="GI55" s="61"/>
      <c r="GJ55" s="61"/>
      <c r="GK55" s="61"/>
      <c r="GL55" s="61"/>
      <c r="GM55" s="61"/>
      <c r="GN55" s="61"/>
      <c r="GO55" s="61"/>
      <c r="GP55" s="61"/>
      <c r="GQ55" s="61"/>
      <c r="GR55" s="61"/>
      <c r="GS55" s="61"/>
      <c r="GT55" s="61"/>
      <c r="GU55" s="61"/>
      <c r="GV55" s="61"/>
      <c r="GW55" s="61"/>
      <c r="GX55" s="61"/>
      <c r="GY55" s="61"/>
      <c r="GZ55" s="61"/>
      <c r="HA55" s="61"/>
      <c r="HB55" s="61"/>
      <c r="HC55" s="61"/>
      <c r="HD55" s="61"/>
      <c r="HE55" s="61"/>
      <c r="HF55" s="61"/>
      <c r="HG55" s="61"/>
      <c r="HH55" s="61"/>
      <c r="HI55" s="61"/>
      <c r="HJ55" s="61"/>
      <c r="HK55" s="61"/>
      <c r="HL55" s="61"/>
      <c r="HM55" s="61"/>
      <c r="HN55" s="61"/>
      <c r="HO55" s="61"/>
      <c r="HP55" s="61"/>
      <c r="HQ55" s="61"/>
      <c r="HR55" s="61"/>
      <c r="HS55" s="61"/>
      <c r="HT55" s="61"/>
      <c r="HU55" s="61"/>
      <c r="HV55" s="61"/>
      <c r="HW55" s="61"/>
      <c r="HX55" s="61"/>
      <c r="HY55" s="61"/>
      <c r="HZ55" s="61"/>
      <c r="IA55" s="61"/>
      <c r="IB55" s="61"/>
      <c r="IC55" s="61"/>
      <c r="ID55" s="61"/>
      <c r="IE55" s="61"/>
      <c r="IF55" s="61"/>
      <c r="IG55" s="61"/>
      <c r="IH55" s="61"/>
      <c r="II55" s="61"/>
      <c r="IJ55" s="61"/>
      <c r="IK55" s="61"/>
      <c r="IL55" s="61"/>
      <c r="IM55" s="61"/>
      <c r="IN55" s="61"/>
      <c r="IO55" s="61"/>
      <c r="IP55" s="61"/>
      <c r="IQ55" s="61"/>
      <c r="IR55" s="61"/>
      <c r="IS55" s="61"/>
      <c r="IT55" s="61"/>
      <c r="IU55" s="61"/>
      <c r="IV55" s="61"/>
      <c r="IW55" s="61"/>
      <c r="IX55" s="61"/>
      <c r="IY55" s="61"/>
      <c r="IZ55" s="61"/>
    </row>
    <row r="56" spans="1:260" s="62" customFormat="1" ht="15" customHeight="1" x14ac:dyDescent="0.2">
      <c r="A56" s="78"/>
      <c r="B56" s="78"/>
      <c r="C56" s="78"/>
      <c r="D56" s="78"/>
      <c r="E56" s="167"/>
      <c r="F56" s="167"/>
      <c r="G56" s="167"/>
      <c r="H56" s="167"/>
      <c r="I56" s="167"/>
      <c r="J56" s="167"/>
      <c r="K56" s="167"/>
      <c r="L56" s="167"/>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c r="DA56" s="61"/>
      <c r="DB56" s="61"/>
      <c r="DC56" s="61"/>
      <c r="DD56" s="61"/>
      <c r="DE56" s="61"/>
      <c r="DF56" s="61"/>
      <c r="DG56" s="61"/>
      <c r="DH56" s="61"/>
      <c r="DI56" s="61"/>
      <c r="DJ56" s="61"/>
      <c r="DK56" s="61"/>
      <c r="DL56" s="61"/>
      <c r="DM56" s="61"/>
      <c r="DN56" s="61"/>
      <c r="DO56" s="61"/>
      <c r="DP56" s="61"/>
      <c r="DQ56" s="61"/>
      <c r="DR56" s="61"/>
      <c r="DS56" s="61"/>
      <c r="DT56" s="61"/>
      <c r="DU56" s="61"/>
      <c r="DV56" s="61"/>
      <c r="DW56" s="61"/>
      <c r="DX56" s="61"/>
      <c r="DY56" s="61"/>
      <c r="DZ56" s="61"/>
      <c r="EA56" s="61"/>
      <c r="EB56" s="61"/>
      <c r="EC56" s="61"/>
      <c r="ED56" s="61"/>
      <c r="EE56" s="61"/>
      <c r="EF56" s="61"/>
      <c r="EG56" s="61"/>
      <c r="EH56" s="61"/>
      <c r="EI56" s="61"/>
      <c r="EJ56" s="61"/>
      <c r="EK56" s="61"/>
      <c r="EL56" s="61"/>
      <c r="EM56" s="61"/>
      <c r="EN56" s="61"/>
      <c r="EO56" s="61"/>
      <c r="EP56" s="61"/>
      <c r="EQ56" s="61"/>
      <c r="ER56" s="61"/>
      <c r="ES56" s="61"/>
      <c r="ET56" s="61"/>
      <c r="EU56" s="61"/>
      <c r="EV56" s="61"/>
      <c r="EW56" s="61"/>
      <c r="EX56" s="61"/>
      <c r="EY56" s="61"/>
      <c r="EZ56" s="61"/>
      <c r="FA56" s="61"/>
      <c r="FB56" s="61"/>
      <c r="FC56" s="61"/>
      <c r="FD56" s="61"/>
      <c r="FE56" s="61"/>
      <c r="FF56" s="61"/>
      <c r="FG56" s="61"/>
      <c r="FH56" s="61"/>
      <c r="FI56" s="61"/>
      <c r="FJ56" s="61"/>
      <c r="FK56" s="61"/>
      <c r="FL56" s="61"/>
      <c r="FM56" s="61"/>
      <c r="FN56" s="61"/>
      <c r="FO56" s="61"/>
      <c r="FP56" s="61"/>
      <c r="FQ56" s="61"/>
      <c r="FR56" s="61"/>
      <c r="FS56" s="61"/>
      <c r="FT56" s="61"/>
      <c r="FU56" s="61"/>
      <c r="FV56" s="61"/>
      <c r="FW56" s="61"/>
      <c r="FX56" s="61"/>
      <c r="FY56" s="61"/>
      <c r="FZ56" s="61"/>
      <c r="GA56" s="61"/>
      <c r="GB56" s="61"/>
      <c r="GC56" s="61"/>
      <c r="GD56" s="61"/>
      <c r="GE56" s="61"/>
      <c r="GF56" s="61"/>
      <c r="GG56" s="61"/>
      <c r="GH56" s="61"/>
      <c r="GI56" s="61"/>
      <c r="GJ56" s="61"/>
      <c r="GK56" s="61"/>
      <c r="GL56" s="61"/>
      <c r="GM56" s="61"/>
      <c r="GN56" s="61"/>
      <c r="GO56" s="61"/>
      <c r="GP56" s="61"/>
      <c r="GQ56" s="61"/>
      <c r="GR56" s="61"/>
      <c r="GS56" s="61"/>
      <c r="GT56" s="61"/>
      <c r="GU56" s="61"/>
      <c r="GV56" s="61"/>
      <c r="GW56" s="61"/>
      <c r="GX56" s="61"/>
      <c r="GY56" s="61"/>
      <c r="GZ56" s="61"/>
      <c r="HA56" s="61"/>
      <c r="HB56" s="61"/>
      <c r="HC56" s="61"/>
      <c r="HD56" s="61"/>
      <c r="HE56" s="61"/>
      <c r="HF56" s="61"/>
      <c r="HG56" s="61"/>
      <c r="HH56" s="61"/>
      <c r="HI56" s="61"/>
      <c r="HJ56" s="61"/>
      <c r="HK56" s="61"/>
      <c r="HL56" s="61"/>
      <c r="HM56" s="61"/>
      <c r="HN56" s="61"/>
      <c r="HO56" s="61"/>
      <c r="HP56" s="61"/>
      <c r="HQ56" s="61"/>
      <c r="HR56" s="61"/>
      <c r="HS56" s="61"/>
      <c r="HT56" s="61"/>
      <c r="HU56" s="61"/>
      <c r="HV56" s="61"/>
      <c r="HW56" s="61"/>
      <c r="HX56" s="61"/>
      <c r="HY56" s="61"/>
      <c r="HZ56" s="61"/>
      <c r="IA56" s="61"/>
      <c r="IB56" s="61"/>
      <c r="IC56" s="61"/>
      <c r="ID56" s="61"/>
      <c r="IE56" s="61"/>
      <c r="IF56" s="61"/>
      <c r="IG56" s="61"/>
      <c r="IH56" s="61"/>
      <c r="II56" s="61"/>
      <c r="IJ56" s="61"/>
      <c r="IK56" s="61"/>
      <c r="IL56" s="61"/>
      <c r="IM56" s="61"/>
      <c r="IN56" s="61"/>
      <c r="IO56" s="61"/>
      <c r="IP56" s="61"/>
      <c r="IQ56" s="61"/>
      <c r="IR56" s="61"/>
      <c r="IS56" s="61"/>
      <c r="IT56" s="61"/>
      <c r="IU56" s="61"/>
      <c r="IV56" s="61"/>
      <c r="IW56" s="61"/>
      <c r="IX56" s="61"/>
      <c r="IY56" s="61"/>
      <c r="IZ56" s="61"/>
    </row>
    <row r="57" spans="1:260" s="62" customFormat="1" ht="15" customHeight="1" x14ac:dyDescent="0.2">
      <c r="A57" s="78"/>
      <c r="B57" s="78"/>
      <c r="C57" s="78"/>
      <c r="D57" s="78"/>
      <c r="E57" s="167"/>
      <c r="F57" s="167"/>
      <c r="G57" s="167"/>
      <c r="H57" s="167"/>
      <c r="I57" s="167"/>
      <c r="J57" s="167"/>
      <c r="K57" s="167"/>
      <c r="L57" s="167"/>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c r="DA57" s="61"/>
      <c r="DB57" s="61"/>
      <c r="DC57" s="61"/>
      <c r="DD57" s="61"/>
      <c r="DE57" s="61"/>
      <c r="DF57" s="61"/>
      <c r="DG57" s="61"/>
      <c r="DH57" s="61"/>
      <c r="DI57" s="61"/>
      <c r="DJ57" s="61"/>
      <c r="DK57" s="61"/>
      <c r="DL57" s="61"/>
      <c r="DM57" s="61"/>
      <c r="DN57" s="61"/>
      <c r="DO57" s="61"/>
      <c r="DP57" s="61"/>
      <c r="DQ57" s="61"/>
      <c r="DR57" s="61"/>
      <c r="DS57" s="61"/>
      <c r="DT57" s="61"/>
      <c r="DU57" s="61"/>
      <c r="DV57" s="61"/>
      <c r="DW57" s="61"/>
      <c r="DX57" s="61"/>
      <c r="DY57" s="61"/>
      <c r="DZ57" s="61"/>
      <c r="EA57" s="61"/>
      <c r="EB57" s="61"/>
      <c r="EC57" s="61"/>
      <c r="ED57" s="61"/>
      <c r="EE57" s="61"/>
      <c r="EF57" s="61"/>
      <c r="EG57" s="61"/>
      <c r="EH57" s="61"/>
      <c r="EI57" s="61"/>
      <c r="EJ57" s="61"/>
      <c r="EK57" s="61"/>
      <c r="EL57" s="61"/>
      <c r="EM57" s="61"/>
      <c r="EN57" s="61"/>
      <c r="EO57" s="61"/>
      <c r="EP57" s="61"/>
      <c r="EQ57" s="61"/>
      <c r="ER57" s="61"/>
      <c r="ES57" s="61"/>
      <c r="ET57" s="61"/>
      <c r="EU57" s="61"/>
      <c r="EV57" s="61"/>
      <c r="EW57" s="61"/>
      <c r="EX57" s="61"/>
      <c r="EY57" s="61"/>
      <c r="EZ57" s="61"/>
      <c r="FA57" s="61"/>
      <c r="FB57" s="61"/>
      <c r="FC57" s="61"/>
      <c r="FD57" s="61"/>
      <c r="FE57" s="61"/>
      <c r="FF57" s="61"/>
      <c r="FG57" s="61"/>
      <c r="FH57" s="61"/>
      <c r="FI57" s="61"/>
      <c r="FJ57" s="61"/>
      <c r="FK57" s="61"/>
      <c r="FL57" s="61"/>
      <c r="FM57" s="61"/>
      <c r="FN57" s="61"/>
      <c r="FO57" s="61"/>
      <c r="FP57" s="61"/>
      <c r="FQ57" s="61"/>
      <c r="FR57" s="61"/>
      <c r="FS57" s="61"/>
      <c r="FT57" s="61"/>
      <c r="FU57" s="61"/>
      <c r="FV57" s="61"/>
      <c r="FW57" s="61"/>
      <c r="FX57" s="61"/>
      <c r="FY57" s="61"/>
      <c r="FZ57" s="61"/>
      <c r="GA57" s="61"/>
      <c r="GB57" s="61"/>
      <c r="GC57" s="61"/>
      <c r="GD57" s="61"/>
      <c r="GE57" s="61"/>
      <c r="GF57" s="61"/>
      <c r="GG57" s="61"/>
      <c r="GH57" s="61"/>
      <c r="GI57" s="61"/>
      <c r="GJ57" s="61"/>
      <c r="GK57" s="61"/>
      <c r="GL57" s="61"/>
      <c r="GM57" s="61"/>
      <c r="GN57" s="61"/>
      <c r="GO57" s="61"/>
      <c r="GP57" s="61"/>
      <c r="GQ57" s="61"/>
      <c r="GR57" s="61"/>
      <c r="GS57" s="61"/>
      <c r="GT57" s="61"/>
      <c r="GU57" s="61"/>
      <c r="GV57" s="61"/>
      <c r="GW57" s="61"/>
      <c r="GX57" s="61"/>
      <c r="GY57" s="61"/>
      <c r="GZ57" s="61"/>
      <c r="HA57" s="61"/>
      <c r="HB57" s="61"/>
      <c r="HC57" s="61"/>
      <c r="HD57" s="61"/>
      <c r="HE57" s="61"/>
      <c r="HF57" s="61"/>
      <c r="HG57" s="61"/>
      <c r="HH57" s="61"/>
      <c r="HI57" s="61"/>
      <c r="HJ57" s="61"/>
      <c r="HK57" s="61"/>
      <c r="HL57" s="61"/>
      <c r="HM57" s="61"/>
      <c r="HN57" s="61"/>
      <c r="HO57" s="61"/>
      <c r="HP57" s="61"/>
      <c r="HQ57" s="61"/>
      <c r="HR57" s="61"/>
      <c r="HS57" s="61"/>
      <c r="HT57" s="61"/>
      <c r="HU57" s="61"/>
      <c r="HV57" s="61"/>
      <c r="HW57" s="61"/>
      <c r="HX57" s="61"/>
      <c r="HY57" s="61"/>
      <c r="HZ57" s="61"/>
      <c r="IA57" s="61"/>
      <c r="IB57" s="61"/>
      <c r="IC57" s="61"/>
      <c r="ID57" s="61"/>
      <c r="IE57" s="61"/>
      <c r="IF57" s="61"/>
      <c r="IG57" s="61"/>
      <c r="IH57" s="61"/>
      <c r="II57" s="61"/>
      <c r="IJ57" s="61"/>
      <c r="IK57" s="61"/>
      <c r="IL57" s="61"/>
      <c r="IM57" s="61"/>
      <c r="IN57" s="61"/>
      <c r="IO57" s="61"/>
      <c r="IP57" s="61"/>
      <c r="IQ57" s="61"/>
      <c r="IR57" s="61"/>
      <c r="IS57" s="61"/>
      <c r="IT57" s="61"/>
      <c r="IU57" s="61"/>
      <c r="IV57" s="61"/>
      <c r="IW57" s="61"/>
      <c r="IX57" s="61"/>
      <c r="IY57" s="61"/>
      <c r="IZ57" s="61"/>
    </row>
    <row r="58" spans="1:260" s="62" customFormat="1" ht="15" customHeight="1" x14ac:dyDescent="0.2">
      <c r="A58" s="78"/>
      <c r="B58" s="78"/>
      <c r="C58" s="78"/>
      <c r="D58" s="78"/>
      <c r="E58" s="167"/>
      <c r="F58" s="167"/>
      <c r="G58" s="167"/>
      <c r="H58" s="167"/>
      <c r="I58" s="167"/>
      <c r="J58" s="167"/>
      <c r="K58" s="167"/>
      <c r="L58" s="167"/>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c r="DA58" s="61"/>
      <c r="DB58" s="61"/>
      <c r="DC58" s="61"/>
      <c r="DD58" s="61"/>
      <c r="DE58" s="61"/>
      <c r="DF58" s="61"/>
      <c r="DG58" s="61"/>
      <c r="DH58" s="61"/>
      <c r="DI58" s="61"/>
      <c r="DJ58" s="61"/>
      <c r="DK58" s="61"/>
      <c r="DL58" s="61"/>
      <c r="DM58" s="61"/>
      <c r="DN58" s="61"/>
      <c r="DO58" s="61"/>
      <c r="DP58" s="61"/>
      <c r="DQ58" s="61"/>
      <c r="DR58" s="61"/>
      <c r="DS58" s="61"/>
      <c r="DT58" s="61"/>
      <c r="DU58" s="61"/>
      <c r="DV58" s="61"/>
      <c r="DW58" s="61"/>
      <c r="DX58" s="61"/>
      <c r="DY58" s="61"/>
      <c r="DZ58" s="61"/>
      <c r="EA58" s="61"/>
      <c r="EB58" s="61"/>
      <c r="EC58" s="61"/>
      <c r="ED58" s="61"/>
      <c r="EE58" s="61"/>
      <c r="EF58" s="61"/>
      <c r="EG58" s="61"/>
      <c r="EH58" s="61"/>
      <c r="EI58" s="61"/>
      <c r="EJ58" s="61"/>
      <c r="EK58" s="61"/>
      <c r="EL58" s="61"/>
      <c r="EM58" s="61"/>
      <c r="EN58" s="61"/>
      <c r="EO58" s="61"/>
      <c r="EP58" s="61"/>
      <c r="EQ58" s="61"/>
      <c r="ER58" s="61"/>
      <c r="ES58" s="61"/>
      <c r="ET58" s="61"/>
      <c r="EU58" s="61"/>
      <c r="EV58" s="61"/>
      <c r="EW58" s="61"/>
      <c r="EX58" s="61"/>
      <c r="EY58" s="61"/>
      <c r="EZ58" s="61"/>
      <c r="FA58" s="61"/>
      <c r="FB58" s="61"/>
      <c r="FC58" s="61"/>
      <c r="FD58" s="61"/>
      <c r="FE58" s="61"/>
      <c r="FF58" s="61"/>
      <c r="FG58" s="61"/>
      <c r="FH58" s="61"/>
      <c r="FI58" s="61"/>
      <c r="FJ58" s="61"/>
      <c r="FK58" s="61"/>
      <c r="FL58" s="61"/>
      <c r="FM58" s="61"/>
      <c r="FN58" s="61"/>
      <c r="FO58" s="61"/>
      <c r="FP58" s="61"/>
      <c r="FQ58" s="61"/>
      <c r="FR58" s="61"/>
      <c r="FS58" s="61"/>
      <c r="FT58" s="61"/>
      <c r="FU58" s="61"/>
      <c r="FV58" s="61"/>
      <c r="FW58" s="61"/>
      <c r="FX58" s="61"/>
      <c r="FY58" s="61"/>
      <c r="FZ58" s="61"/>
      <c r="GA58" s="61"/>
      <c r="GB58" s="61"/>
      <c r="GC58" s="61"/>
      <c r="GD58" s="61"/>
      <c r="GE58" s="61"/>
      <c r="GF58" s="61"/>
      <c r="GG58" s="61"/>
      <c r="GH58" s="61"/>
      <c r="GI58" s="61"/>
      <c r="GJ58" s="61"/>
      <c r="GK58" s="61"/>
      <c r="GL58" s="61"/>
      <c r="GM58" s="61"/>
      <c r="GN58" s="61"/>
      <c r="GO58" s="61"/>
      <c r="GP58" s="61"/>
      <c r="GQ58" s="61"/>
      <c r="GR58" s="61"/>
      <c r="GS58" s="61"/>
      <c r="GT58" s="61"/>
      <c r="GU58" s="61"/>
      <c r="GV58" s="61"/>
      <c r="GW58" s="61"/>
      <c r="GX58" s="61"/>
      <c r="GY58" s="61"/>
      <c r="GZ58" s="61"/>
      <c r="HA58" s="61"/>
      <c r="HB58" s="61"/>
      <c r="HC58" s="61"/>
      <c r="HD58" s="61"/>
      <c r="HE58" s="61"/>
      <c r="HF58" s="61"/>
      <c r="HG58" s="61"/>
      <c r="HH58" s="61"/>
      <c r="HI58" s="61"/>
      <c r="HJ58" s="61"/>
      <c r="HK58" s="61"/>
      <c r="HL58" s="61"/>
      <c r="HM58" s="61"/>
      <c r="HN58" s="61"/>
      <c r="HO58" s="61"/>
      <c r="HP58" s="61"/>
      <c r="HQ58" s="61"/>
      <c r="HR58" s="61"/>
      <c r="HS58" s="61"/>
      <c r="HT58" s="61"/>
      <c r="HU58" s="61"/>
      <c r="HV58" s="61"/>
      <c r="HW58" s="61"/>
      <c r="HX58" s="61"/>
      <c r="HY58" s="61"/>
      <c r="HZ58" s="61"/>
      <c r="IA58" s="61"/>
      <c r="IB58" s="61"/>
      <c r="IC58" s="61"/>
      <c r="ID58" s="61"/>
      <c r="IE58" s="61"/>
      <c r="IF58" s="61"/>
      <c r="IG58" s="61"/>
      <c r="IH58" s="61"/>
      <c r="II58" s="61"/>
      <c r="IJ58" s="61"/>
      <c r="IK58" s="61"/>
      <c r="IL58" s="61"/>
      <c r="IM58" s="61"/>
      <c r="IN58" s="61"/>
      <c r="IO58" s="61"/>
      <c r="IP58" s="61"/>
      <c r="IQ58" s="61"/>
      <c r="IR58" s="61"/>
      <c r="IS58" s="61"/>
      <c r="IT58" s="61"/>
      <c r="IU58" s="61"/>
      <c r="IV58" s="61"/>
      <c r="IW58" s="61"/>
      <c r="IX58" s="61"/>
      <c r="IY58" s="61"/>
      <c r="IZ58" s="61"/>
    </row>
    <row r="59" spans="1:260" s="62" customFormat="1" ht="15" customHeight="1" x14ac:dyDescent="0.2">
      <c r="A59" s="78"/>
      <c r="B59" s="78"/>
      <c r="C59" s="78"/>
      <c r="D59" s="78"/>
      <c r="E59" s="167"/>
      <c r="F59" s="167"/>
      <c r="G59" s="167"/>
      <c r="H59" s="167"/>
      <c r="I59" s="167"/>
      <c r="J59" s="167"/>
      <c r="K59" s="167"/>
      <c r="L59" s="167"/>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61"/>
      <c r="DE59" s="61"/>
      <c r="DF59" s="61"/>
      <c r="DG59" s="61"/>
      <c r="DH59" s="61"/>
      <c r="DI59" s="61"/>
      <c r="DJ59" s="61"/>
      <c r="DK59" s="61"/>
      <c r="DL59" s="61"/>
      <c r="DM59" s="61"/>
      <c r="DN59" s="61"/>
      <c r="DO59" s="61"/>
      <c r="DP59" s="61"/>
      <c r="DQ59" s="61"/>
      <c r="DR59" s="61"/>
      <c r="DS59" s="61"/>
      <c r="DT59" s="61"/>
      <c r="DU59" s="61"/>
      <c r="DV59" s="61"/>
      <c r="DW59" s="61"/>
      <c r="DX59" s="61"/>
      <c r="DY59" s="61"/>
      <c r="DZ59" s="61"/>
      <c r="EA59" s="61"/>
      <c r="EB59" s="61"/>
      <c r="EC59" s="61"/>
      <c r="ED59" s="61"/>
      <c r="EE59" s="61"/>
      <c r="EF59" s="61"/>
      <c r="EG59" s="61"/>
      <c r="EH59" s="61"/>
      <c r="EI59" s="61"/>
      <c r="EJ59" s="61"/>
      <c r="EK59" s="61"/>
      <c r="EL59" s="61"/>
      <c r="EM59" s="61"/>
      <c r="EN59" s="61"/>
      <c r="EO59" s="61"/>
      <c r="EP59" s="61"/>
      <c r="EQ59" s="61"/>
      <c r="ER59" s="61"/>
      <c r="ES59" s="61"/>
      <c r="ET59" s="61"/>
      <c r="EU59" s="61"/>
      <c r="EV59" s="61"/>
      <c r="EW59" s="61"/>
      <c r="EX59" s="61"/>
      <c r="EY59" s="61"/>
      <c r="EZ59" s="61"/>
      <c r="FA59" s="61"/>
      <c r="FB59" s="61"/>
      <c r="FC59" s="61"/>
      <c r="FD59" s="61"/>
      <c r="FE59" s="61"/>
      <c r="FF59" s="61"/>
      <c r="FG59" s="61"/>
      <c r="FH59" s="61"/>
      <c r="FI59" s="61"/>
      <c r="FJ59" s="61"/>
      <c r="FK59" s="61"/>
      <c r="FL59" s="61"/>
      <c r="FM59" s="61"/>
      <c r="FN59" s="61"/>
      <c r="FO59" s="61"/>
      <c r="FP59" s="61"/>
      <c r="FQ59" s="61"/>
      <c r="FR59" s="61"/>
      <c r="FS59" s="61"/>
      <c r="FT59" s="61"/>
      <c r="FU59" s="61"/>
      <c r="FV59" s="61"/>
      <c r="FW59" s="61"/>
      <c r="FX59" s="61"/>
      <c r="FY59" s="61"/>
      <c r="FZ59" s="61"/>
      <c r="GA59" s="61"/>
      <c r="GB59" s="61"/>
      <c r="GC59" s="61"/>
      <c r="GD59" s="61"/>
      <c r="GE59" s="61"/>
      <c r="GF59" s="61"/>
      <c r="GG59" s="61"/>
      <c r="GH59" s="61"/>
      <c r="GI59" s="61"/>
      <c r="GJ59" s="61"/>
      <c r="GK59" s="61"/>
      <c r="GL59" s="61"/>
      <c r="GM59" s="61"/>
      <c r="GN59" s="61"/>
      <c r="GO59" s="61"/>
      <c r="GP59" s="61"/>
      <c r="GQ59" s="61"/>
      <c r="GR59" s="61"/>
      <c r="GS59" s="61"/>
      <c r="GT59" s="61"/>
      <c r="GU59" s="61"/>
      <c r="GV59" s="61"/>
      <c r="GW59" s="61"/>
      <c r="GX59" s="61"/>
      <c r="GY59" s="61"/>
      <c r="GZ59" s="61"/>
      <c r="HA59" s="61"/>
      <c r="HB59" s="61"/>
      <c r="HC59" s="61"/>
      <c r="HD59" s="61"/>
      <c r="HE59" s="61"/>
      <c r="HF59" s="61"/>
      <c r="HG59" s="61"/>
      <c r="HH59" s="61"/>
      <c r="HI59" s="61"/>
      <c r="HJ59" s="61"/>
      <c r="HK59" s="61"/>
      <c r="HL59" s="61"/>
      <c r="HM59" s="61"/>
      <c r="HN59" s="61"/>
      <c r="HO59" s="61"/>
      <c r="HP59" s="61"/>
      <c r="HQ59" s="61"/>
      <c r="HR59" s="61"/>
      <c r="HS59" s="61"/>
      <c r="HT59" s="61"/>
      <c r="HU59" s="61"/>
      <c r="HV59" s="61"/>
      <c r="HW59" s="61"/>
      <c r="HX59" s="61"/>
      <c r="HY59" s="61"/>
      <c r="HZ59" s="61"/>
      <c r="IA59" s="61"/>
      <c r="IB59" s="61"/>
      <c r="IC59" s="61"/>
      <c r="ID59" s="61"/>
      <c r="IE59" s="61"/>
      <c r="IF59" s="61"/>
      <c r="IG59" s="61"/>
      <c r="IH59" s="61"/>
      <c r="II59" s="61"/>
      <c r="IJ59" s="61"/>
      <c r="IK59" s="61"/>
      <c r="IL59" s="61"/>
      <c r="IM59" s="61"/>
      <c r="IN59" s="61"/>
      <c r="IO59" s="61"/>
      <c r="IP59" s="61"/>
      <c r="IQ59" s="61"/>
      <c r="IR59" s="61"/>
      <c r="IS59" s="61"/>
      <c r="IT59" s="61"/>
      <c r="IU59" s="61"/>
      <c r="IV59" s="61"/>
      <c r="IW59" s="61"/>
      <c r="IX59" s="61"/>
      <c r="IY59" s="61"/>
      <c r="IZ59" s="61"/>
    </row>
    <row r="60" spans="1:260" s="62" customFormat="1" ht="15" customHeight="1" x14ac:dyDescent="0.2">
      <c r="A60" s="78"/>
      <c r="B60" s="78"/>
      <c r="C60" s="78"/>
      <c r="D60" s="78"/>
      <c r="E60" s="92"/>
      <c r="F60" s="92"/>
      <c r="G60" s="92"/>
      <c r="H60" s="92"/>
      <c r="I60" s="92"/>
      <c r="J60" s="92"/>
      <c r="K60" s="92"/>
      <c r="L60" s="92"/>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61"/>
      <c r="DE60" s="61"/>
      <c r="DF60" s="61"/>
      <c r="DG60" s="61"/>
      <c r="DH60" s="61"/>
      <c r="DI60" s="61"/>
      <c r="DJ60" s="61"/>
      <c r="DK60" s="61"/>
      <c r="DL60" s="61"/>
      <c r="DM60" s="61"/>
      <c r="DN60" s="61"/>
      <c r="DO60" s="61"/>
      <c r="DP60" s="61"/>
      <c r="DQ60" s="61"/>
      <c r="DR60" s="61"/>
      <c r="DS60" s="61"/>
      <c r="DT60" s="61"/>
      <c r="DU60" s="61"/>
      <c r="DV60" s="61"/>
      <c r="DW60" s="61"/>
      <c r="DX60" s="61"/>
      <c r="DY60" s="61"/>
      <c r="DZ60" s="61"/>
      <c r="EA60" s="61"/>
      <c r="EB60" s="61"/>
      <c r="EC60" s="61"/>
      <c r="ED60" s="61"/>
      <c r="EE60" s="61"/>
      <c r="EF60" s="61"/>
      <c r="EG60" s="61"/>
      <c r="EH60" s="61"/>
      <c r="EI60" s="61"/>
      <c r="EJ60" s="61"/>
      <c r="EK60" s="61"/>
      <c r="EL60" s="61"/>
      <c r="EM60" s="61"/>
      <c r="EN60" s="61"/>
      <c r="EO60" s="61"/>
      <c r="EP60" s="61"/>
      <c r="EQ60" s="61"/>
      <c r="ER60" s="61"/>
      <c r="ES60" s="61"/>
      <c r="ET60" s="61"/>
      <c r="EU60" s="61"/>
      <c r="EV60" s="61"/>
      <c r="EW60" s="61"/>
      <c r="EX60" s="61"/>
      <c r="EY60" s="61"/>
      <c r="EZ60" s="61"/>
      <c r="FA60" s="61"/>
      <c r="FB60" s="61"/>
      <c r="FC60" s="61"/>
      <c r="FD60" s="61"/>
      <c r="FE60" s="61"/>
      <c r="FF60" s="61"/>
      <c r="FG60" s="61"/>
      <c r="FH60" s="61"/>
      <c r="FI60" s="61"/>
      <c r="FJ60" s="61"/>
      <c r="FK60" s="61"/>
      <c r="FL60" s="61"/>
      <c r="FM60" s="61"/>
      <c r="FN60" s="61"/>
      <c r="FO60" s="61"/>
      <c r="FP60" s="61"/>
      <c r="FQ60" s="61"/>
      <c r="FR60" s="61"/>
      <c r="FS60" s="61"/>
      <c r="FT60" s="61"/>
      <c r="FU60" s="61"/>
      <c r="FV60" s="61"/>
      <c r="FW60" s="61"/>
      <c r="FX60" s="61"/>
      <c r="FY60" s="61"/>
      <c r="FZ60" s="61"/>
      <c r="GA60" s="61"/>
      <c r="GB60" s="61"/>
      <c r="GC60" s="61"/>
      <c r="GD60" s="61"/>
      <c r="GE60" s="61"/>
      <c r="GF60" s="61"/>
      <c r="GG60" s="61"/>
      <c r="GH60" s="61"/>
      <c r="GI60" s="61"/>
      <c r="GJ60" s="61"/>
      <c r="GK60" s="61"/>
      <c r="GL60" s="61"/>
      <c r="GM60" s="61"/>
      <c r="GN60" s="61"/>
      <c r="GO60" s="61"/>
      <c r="GP60" s="61"/>
      <c r="GQ60" s="61"/>
      <c r="GR60" s="61"/>
      <c r="GS60" s="61"/>
      <c r="GT60" s="61"/>
      <c r="GU60" s="61"/>
      <c r="GV60" s="61"/>
      <c r="GW60" s="61"/>
      <c r="GX60" s="61"/>
      <c r="GY60" s="61"/>
      <c r="GZ60" s="61"/>
      <c r="HA60" s="61"/>
      <c r="HB60" s="61"/>
      <c r="HC60" s="61"/>
      <c r="HD60" s="61"/>
      <c r="HE60" s="61"/>
      <c r="HF60" s="61"/>
      <c r="HG60" s="61"/>
      <c r="HH60" s="61"/>
      <c r="HI60" s="61"/>
      <c r="HJ60" s="61"/>
      <c r="HK60" s="61"/>
      <c r="HL60" s="61"/>
      <c r="HM60" s="61"/>
      <c r="HN60" s="61"/>
      <c r="HO60" s="61"/>
      <c r="HP60" s="61"/>
      <c r="HQ60" s="61"/>
      <c r="HR60" s="61"/>
      <c r="HS60" s="61"/>
      <c r="HT60" s="61"/>
      <c r="HU60" s="61"/>
      <c r="HV60" s="61"/>
      <c r="HW60" s="61"/>
      <c r="HX60" s="61"/>
      <c r="HY60" s="61"/>
      <c r="HZ60" s="61"/>
      <c r="IA60" s="61"/>
      <c r="IB60" s="61"/>
      <c r="IC60" s="61"/>
      <c r="ID60" s="61"/>
      <c r="IE60" s="61"/>
      <c r="IF60" s="61"/>
      <c r="IG60" s="61"/>
      <c r="IH60" s="61"/>
      <c r="II60" s="61"/>
      <c r="IJ60" s="61"/>
      <c r="IK60" s="61"/>
      <c r="IL60" s="61"/>
      <c r="IM60" s="61"/>
      <c r="IN60" s="61"/>
      <c r="IO60" s="61"/>
      <c r="IP60" s="61"/>
      <c r="IQ60" s="61"/>
      <c r="IR60" s="61"/>
      <c r="IS60" s="61"/>
      <c r="IT60" s="61"/>
      <c r="IU60" s="61"/>
      <c r="IV60" s="61"/>
      <c r="IW60" s="61"/>
      <c r="IX60" s="61"/>
      <c r="IY60" s="61"/>
      <c r="IZ60" s="61"/>
    </row>
    <row r="61" spans="1:260" s="62" customFormat="1" ht="15" customHeight="1" x14ac:dyDescent="0.2">
      <c r="A61" s="78"/>
      <c r="B61" s="78"/>
      <c r="C61" s="78"/>
      <c r="D61" s="78"/>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61"/>
      <c r="DE61" s="61"/>
      <c r="DF61" s="61"/>
      <c r="DG61" s="61"/>
      <c r="DH61" s="61"/>
      <c r="DI61" s="61"/>
      <c r="DJ61" s="61"/>
      <c r="DK61" s="61"/>
      <c r="DL61" s="61"/>
      <c r="DM61" s="61"/>
      <c r="DN61" s="61"/>
      <c r="DO61" s="61"/>
      <c r="DP61" s="61"/>
      <c r="DQ61" s="61"/>
      <c r="DR61" s="61"/>
      <c r="DS61" s="61"/>
      <c r="DT61" s="61"/>
      <c r="DU61" s="61"/>
      <c r="DV61" s="61"/>
      <c r="DW61" s="61"/>
      <c r="DX61" s="61"/>
      <c r="DY61" s="61"/>
      <c r="DZ61" s="61"/>
      <c r="EA61" s="61"/>
      <c r="EB61" s="61"/>
      <c r="EC61" s="61"/>
      <c r="ED61" s="61"/>
      <c r="EE61" s="61"/>
      <c r="EF61" s="61"/>
      <c r="EG61" s="61"/>
      <c r="EH61" s="61"/>
      <c r="EI61" s="61"/>
      <c r="EJ61" s="61"/>
      <c r="EK61" s="61"/>
      <c r="EL61" s="61"/>
      <c r="EM61" s="61"/>
      <c r="EN61" s="61"/>
      <c r="EO61" s="61"/>
      <c r="EP61" s="61"/>
      <c r="EQ61" s="61"/>
      <c r="ER61" s="61"/>
      <c r="ES61" s="61"/>
      <c r="ET61" s="61"/>
      <c r="EU61" s="61"/>
      <c r="EV61" s="61"/>
      <c r="EW61" s="61"/>
      <c r="EX61" s="61"/>
      <c r="EY61" s="61"/>
      <c r="EZ61" s="61"/>
      <c r="FA61" s="61"/>
      <c r="FB61" s="61"/>
      <c r="FC61" s="61"/>
      <c r="FD61" s="61"/>
      <c r="FE61" s="61"/>
      <c r="FF61" s="61"/>
      <c r="FG61" s="61"/>
      <c r="FH61" s="61"/>
      <c r="FI61" s="61"/>
      <c r="FJ61" s="61"/>
      <c r="FK61" s="61"/>
      <c r="FL61" s="61"/>
      <c r="FM61" s="61"/>
      <c r="FN61" s="61"/>
      <c r="FO61" s="61"/>
      <c r="FP61" s="61"/>
      <c r="FQ61" s="61"/>
      <c r="FR61" s="61"/>
      <c r="FS61" s="61"/>
      <c r="FT61" s="61"/>
      <c r="FU61" s="61"/>
      <c r="FV61" s="61"/>
      <c r="FW61" s="61"/>
      <c r="FX61" s="61"/>
      <c r="FY61" s="61"/>
      <c r="FZ61" s="61"/>
      <c r="GA61" s="61"/>
      <c r="GB61" s="61"/>
      <c r="GC61" s="61"/>
      <c r="GD61" s="61"/>
      <c r="GE61" s="61"/>
      <c r="GF61" s="61"/>
      <c r="GG61" s="61"/>
      <c r="GH61" s="61"/>
      <c r="GI61" s="61"/>
      <c r="GJ61" s="61"/>
      <c r="GK61" s="61"/>
      <c r="GL61" s="61"/>
      <c r="GM61" s="61"/>
      <c r="GN61" s="61"/>
      <c r="GO61" s="61"/>
      <c r="GP61" s="61"/>
      <c r="GQ61" s="61"/>
      <c r="GR61" s="61"/>
      <c r="GS61" s="61"/>
      <c r="GT61" s="61"/>
      <c r="GU61" s="61"/>
      <c r="GV61" s="61"/>
      <c r="GW61" s="61"/>
      <c r="GX61" s="61"/>
      <c r="GY61" s="61"/>
      <c r="GZ61" s="61"/>
      <c r="HA61" s="61"/>
      <c r="HB61" s="61"/>
      <c r="HC61" s="61"/>
      <c r="HD61" s="61"/>
      <c r="HE61" s="61"/>
      <c r="HF61" s="61"/>
      <c r="HG61" s="61"/>
      <c r="HH61" s="61"/>
      <c r="HI61" s="61"/>
      <c r="HJ61" s="61"/>
      <c r="HK61" s="61"/>
      <c r="HL61" s="61"/>
      <c r="HM61" s="61"/>
      <c r="HN61" s="61"/>
      <c r="HO61" s="61"/>
      <c r="HP61" s="61"/>
      <c r="HQ61" s="61"/>
      <c r="HR61" s="61"/>
      <c r="HS61" s="61"/>
      <c r="HT61" s="61"/>
      <c r="HU61" s="61"/>
      <c r="HV61" s="61"/>
      <c r="HW61" s="61"/>
      <c r="HX61" s="61"/>
      <c r="HY61" s="61"/>
      <c r="HZ61" s="61"/>
      <c r="IA61" s="61"/>
      <c r="IB61" s="61"/>
      <c r="IC61" s="61"/>
      <c r="ID61" s="61"/>
      <c r="IE61" s="61"/>
      <c r="IF61" s="61"/>
      <c r="IG61" s="61"/>
      <c r="IH61" s="61"/>
      <c r="II61" s="61"/>
      <c r="IJ61" s="61"/>
      <c r="IK61" s="61"/>
      <c r="IL61" s="61"/>
      <c r="IM61" s="61"/>
      <c r="IN61" s="61"/>
      <c r="IO61" s="61"/>
      <c r="IP61" s="61"/>
      <c r="IQ61" s="61"/>
      <c r="IR61" s="61"/>
      <c r="IS61" s="61"/>
      <c r="IT61" s="61"/>
      <c r="IU61" s="61"/>
      <c r="IV61" s="61"/>
      <c r="IW61" s="61"/>
      <c r="IX61" s="61"/>
      <c r="IY61" s="61"/>
      <c r="IZ61" s="61"/>
    </row>
    <row r="62" spans="1:260" s="62" customFormat="1" ht="15" customHeight="1" x14ac:dyDescent="0.2">
      <c r="A62" s="78"/>
      <c r="B62" s="78"/>
      <c r="C62" s="78"/>
      <c r="D62" s="78"/>
      <c r="E62" s="92"/>
      <c r="F62" s="92"/>
      <c r="G62" s="92"/>
      <c r="H62" s="92"/>
      <c r="I62" s="92"/>
      <c r="J62" s="92"/>
      <c r="K62" s="92"/>
      <c r="L62" s="92"/>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c r="DA62" s="61"/>
      <c r="DB62" s="61"/>
      <c r="DC62" s="61"/>
      <c r="DD62" s="61"/>
      <c r="DE62" s="61"/>
      <c r="DF62" s="61"/>
      <c r="DG62" s="61"/>
      <c r="DH62" s="61"/>
      <c r="DI62" s="61"/>
      <c r="DJ62" s="61"/>
      <c r="DK62" s="61"/>
      <c r="DL62" s="61"/>
      <c r="DM62" s="61"/>
      <c r="DN62" s="61"/>
      <c r="DO62" s="61"/>
      <c r="DP62" s="61"/>
      <c r="DQ62" s="61"/>
      <c r="DR62" s="61"/>
      <c r="DS62" s="61"/>
      <c r="DT62" s="61"/>
      <c r="DU62" s="61"/>
      <c r="DV62" s="61"/>
      <c r="DW62" s="61"/>
      <c r="DX62" s="61"/>
      <c r="DY62" s="61"/>
      <c r="DZ62" s="61"/>
      <c r="EA62" s="61"/>
      <c r="EB62" s="61"/>
      <c r="EC62" s="61"/>
      <c r="ED62" s="61"/>
      <c r="EE62" s="61"/>
      <c r="EF62" s="61"/>
      <c r="EG62" s="61"/>
      <c r="EH62" s="61"/>
      <c r="EI62" s="61"/>
      <c r="EJ62" s="61"/>
      <c r="EK62" s="61"/>
      <c r="EL62" s="61"/>
      <c r="EM62" s="61"/>
      <c r="EN62" s="61"/>
      <c r="EO62" s="61"/>
      <c r="EP62" s="61"/>
      <c r="EQ62" s="61"/>
      <c r="ER62" s="61"/>
      <c r="ES62" s="61"/>
      <c r="ET62" s="61"/>
      <c r="EU62" s="61"/>
      <c r="EV62" s="61"/>
      <c r="EW62" s="61"/>
      <c r="EX62" s="61"/>
      <c r="EY62" s="61"/>
      <c r="EZ62" s="61"/>
      <c r="FA62" s="61"/>
      <c r="FB62" s="61"/>
      <c r="FC62" s="61"/>
      <c r="FD62" s="61"/>
      <c r="FE62" s="61"/>
      <c r="FF62" s="61"/>
      <c r="FG62" s="61"/>
      <c r="FH62" s="61"/>
      <c r="FI62" s="61"/>
      <c r="FJ62" s="61"/>
      <c r="FK62" s="61"/>
      <c r="FL62" s="61"/>
      <c r="FM62" s="61"/>
      <c r="FN62" s="61"/>
      <c r="FO62" s="61"/>
      <c r="FP62" s="61"/>
      <c r="FQ62" s="61"/>
      <c r="FR62" s="61"/>
      <c r="FS62" s="61"/>
      <c r="FT62" s="61"/>
      <c r="FU62" s="61"/>
      <c r="FV62" s="61"/>
      <c r="FW62" s="61"/>
      <c r="FX62" s="61"/>
      <c r="FY62" s="61"/>
      <c r="FZ62" s="61"/>
      <c r="GA62" s="61"/>
      <c r="GB62" s="61"/>
      <c r="GC62" s="61"/>
      <c r="GD62" s="61"/>
      <c r="GE62" s="61"/>
      <c r="GF62" s="61"/>
      <c r="GG62" s="61"/>
      <c r="GH62" s="61"/>
      <c r="GI62" s="61"/>
      <c r="GJ62" s="61"/>
      <c r="GK62" s="61"/>
      <c r="GL62" s="61"/>
      <c r="GM62" s="61"/>
      <c r="GN62" s="61"/>
      <c r="GO62" s="61"/>
      <c r="GP62" s="61"/>
      <c r="GQ62" s="61"/>
      <c r="GR62" s="61"/>
      <c r="GS62" s="61"/>
      <c r="GT62" s="61"/>
      <c r="GU62" s="61"/>
      <c r="GV62" s="61"/>
      <c r="GW62" s="61"/>
      <c r="GX62" s="61"/>
      <c r="GY62" s="61"/>
      <c r="GZ62" s="61"/>
      <c r="HA62" s="61"/>
      <c r="HB62" s="61"/>
      <c r="HC62" s="61"/>
      <c r="HD62" s="61"/>
      <c r="HE62" s="61"/>
      <c r="HF62" s="61"/>
      <c r="HG62" s="61"/>
      <c r="HH62" s="61"/>
      <c r="HI62" s="61"/>
      <c r="HJ62" s="61"/>
      <c r="HK62" s="61"/>
      <c r="HL62" s="61"/>
      <c r="HM62" s="61"/>
      <c r="HN62" s="61"/>
      <c r="HO62" s="61"/>
      <c r="HP62" s="61"/>
      <c r="HQ62" s="61"/>
      <c r="HR62" s="61"/>
      <c r="HS62" s="61"/>
      <c r="HT62" s="61"/>
      <c r="HU62" s="61"/>
      <c r="HV62" s="61"/>
      <c r="HW62" s="61"/>
      <c r="HX62" s="61"/>
      <c r="HY62" s="61"/>
      <c r="HZ62" s="61"/>
      <c r="IA62" s="61"/>
      <c r="IB62" s="61"/>
      <c r="IC62" s="61"/>
      <c r="ID62" s="61"/>
      <c r="IE62" s="61"/>
      <c r="IF62" s="61"/>
      <c r="IG62" s="61"/>
      <c r="IH62" s="61"/>
      <c r="II62" s="61"/>
      <c r="IJ62" s="61"/>
      <c r="IK62" s="61"/>
      <c r="IL62" s="61"/>
      <c r="IM62" s="61"/>
      <c r="IN62" s="61"/>
      <c r="IO62" s="61"/>
      <c r="IP62" s="61"/>
      <c r="IQ62" s="61"/>
      <c r="IR62" s="61"/>
      <c r="IS62" s="61"/>
      <c r="IT62" s="61"/>
      <c r="IU62" s="61"/>
      <c r="IV62" s="61"/>
      <c r="IW62" s="61"/>
      <c r="IX62" s="61"/>
      <c r="IY62" s="61"/>
      <c r="IZ62" s="61"/>
    </row>
    <row r="63" spans="1:260" s="62" customFormat="1" ht="15" customHeight="1" x14ac:dyDescent="0.2">
      <c r="A63" s="78"/>
      <c r="B63" s="78"/>
      <c r="C63" s="78"/>
      <c r="D63" s="78"/>
      <c r="E63" s="92"/>
      <c r="F63" s="92"/>
      <c r="G63" s="92"/>
      <c r="H63" s="92"/>
      <c r="I63" s="92"/>
      <c r="J63" s="92"/>
      <c r="K63" s="92"/>
      <c r="L63" s="92"/>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61"/>
      <c r="DE63" s="61"/>
      <c r="DF63" s="61"/>
      <c r="DG63" s="61"/>
      <c r="DH63" s="61"/>
      <c r="DI63" s="61"/>
      <c r="DJ63" s="61"/>
      <c r="DK63" s="61"/>
      <c r="DL63" s="61"/>
      <c r="DM63" s="61"/>
      <c r="DN63" s="61"/>
      <c r="DO63" s="61"/>
      <c r="DP63" s="61"/>
      <c r="DQ63" s="61"/>
      <c r="DR63" s="61"/>
      <c r="DS63" s="61"/>
      <c r="DT63" s="61"/>
      <c r="DU63" s="61"/>
      <c r="DV63" s="61"/>
      <c r="DW63" s="61"/>
      <c r="DX63" s="61"/>
      <c r="DY63" s="61"/>
      <c r="DZ63" s="61"/>
      <c r="EA63" s="61"/>
      <c r="EB63" s="61"/>
      <c r="EC63" s="61"/>
      <c r="ED63" s="61"/>
      <c r="EE63" s="61"/>
      <c r="EF63" s="61"/>
      <c r="EG63" s="61"/>
      <c r="EH63" s="61"/>
      <c r="EI63" s="61"/>
      <c r="EJ63" s="61"/>
      <c r="EK63" s="61"/>
      <c r="EL63" s="61"/>
      <c r="EM63" s="61"/>
      <c r="EN63" s="61"/>
      <c r="EO63" s="61"/>
      <c r="EP63" s="61"/>
      <c r="EQ63" s="61"/>
      <c r="ER63" s="61"/>
      <c r="ES63" s="61"/>
      <c r="ET63" s="61"/>
      <c r="EU63" s="61"/>
      <c r="EV63" s="61"/>
      <c r="EW63" s="61"/>
      <c r="EX63" s="61"/>
      <c r="EY63" s="61"/>
      <c r="EZ63" s="61"/>
      <c r="FA63" s="61"/>
      <c r="FB63" s="61"/>
      <c r="FC63" s="61"/>
      <c r="FD63" s="61"/>
      <c r="FE63" s="61"/>
      <c r="FF63" s="61"/>
      <c r="FG63" s="61"/>
      <c r="FH63" s="61"/>
      <c r="FI63" s="61"/>
      <c r="FJ63" s="61"/>
      <c r="FK63" s="61"/>
      <c r="FL63" s="61"/>
      <c r="FM63" s="61"/>
      <c r="FN63" s="61"/>
      <c r="FO63" s="61"/>
      <c r="FP63" s="61"/>
      <c r="FQ63" s="61"/>
      <c r="FR63" s="61"/>
      <c r="FS63" s="61"/>
      <c r="FT63" s="61"/>
      <c r="FU63" s="61"/>
      <c r="FV63" s="61"/>
      <c r="FW63" s="61"/>
      <c r="FX63" s="61"/>
      <c r="FY63" s="61"/>
      <c r="FZ63" s="61"/>
      <c r="GA63" s="61"/>
      <c r="GB63" s="61"/>
      <c r="GC63" s="61"/>
      <c r="GD63" s="61"/>
      <c r="GE63" s="61"/>
      <c r="GF63" s="61"/>
      <c r="GG63" s="61"/>
      <c r="GH63" s="61"/>
      <c r="GI63" s="61"/>
      <c r="GJ63" s="61"/>
      <c r="GK63" s="61"/>
      <c r="GL63" s="61"/>
      <c r="GM63" s="61"/>
      <c r="GN63" s="61"/>
      <c r="GO63" s="61"/>
      <c r="GP63" s="61"/>
      <c r="GQ63" s="61"/>
      <c r="GR63" s="61"/>
      <c r="GS63" s="61"/>
      <c r="GT63" s="61"/>
      <c r="GU63" s="61"/>
      <c r="GV63" s="61"/>
      <c r="GW63" s="61"/>
      <c r="GX63" s="61"/>
      <c r="GY63" s="61"/>
      <c r="GZ63" s="61"/>
      <c r="HA63" s="61"/>
      <c r="HB63" s="61"/>
      <c r="HC63" s="61"/>
      <c r="HD63" s="61"/>
      <c r="HE63" s="61"/>
      <c r="HF63" s="61"/>
      <c r="HG63" s="61"/>
      <c r="HH63" s="61"/>
      <c r="HI63" s="61"/>
      <c r="HJ63" s="61"/>
      <c r="HK63" s="61"/>
      <c r="HL63" s="61"/>
      <c r="HM63" s="61"/>
      <c r="HN63" s="61"/>
      <c r="HO63" s="61"/>
      <c r="HP63" s="61"/>
      <c r="HQ63" s="61"/>
      <c r="HR63" s="61"/>
      <c r="HS63" s="61"/>
      <c r="HT63" s="61"/>
      <c r="HU63" s="61"/>
      <c r="HV63" s="61"/>
      <c r="HW63" s="61"/>
      <c r="HX63" s="61"/>
      <c r="HY63" s="61"/>
      <c r="HZ63" s="61"/>
      <c r="IA63" s="61"/>
      <c r="IB63" s="61"/>
      <c r="IC63" s="61"/>
      <c r="ID63" s="61"/>
      <c r="IE63" s="61"/>
      <c r="IF63" s="61"/>
      <c r="IG63" s="61"/>
      <c r="IH63" s="61"/>
      <c r="II63" s="61"/>
      <c r="IJ63" s="61"/>
      <c r="IK63" s="61"/>
      <c r="IL63" s="61"/>
      <c r="IM63" s="61"/>
      <c r="IN63" s="61"/>
      <c r="IO63" s="61"/>
      <c r="IP63" s="61"/>
      <c r="IQ63" s="61"/>
      <c r="IR63" s="61"/>
      <c r="IS63" s="61"/>
      <c r="IT63" s="61"/>
      <c r="IU63" s="61"/>
      <c r="IV63" s="61"/>
      <c r="IW63" s="61"/>
      <c r="IX63" s="61"/>
      <c r="IY63" s="61"/>
      <c r="IZ63" s="61"/>
    </row>
    <row r="64" spans="1:260" s="62" customFormat="1" ht="15" customHeight="1" x14ac:dyDescent="0.2">
      <c r="A64" s="78"/>
      <c r="B64" s="78"/>
      <c r="C64" s="78"/>
      <c r="D64" s="78"/>
      <c r="E64" s="92"/>
      <c r="F64" s="92"/>
      <c r="G64" s="92"/>
      <c r="H64" s="64" t="s">
        <v>9</v>
      </c>
      <c r="I64" s="166">
        <f>F42</f>
        <v>0</v>
      </c>
      <c r="J64" s="166"/>
      <c r="K64" s="166"/>
      <c r="L64" s="166"/>
      <c r="M64" s="65"/>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c r="DA64" s="61"/>
      <c r="DB64" s="61"/>
      <c r="DC64" s="61"/>
      <c r="DD64" s="61"/>
      <c r="DE64" s="61"/>
      <c r="DF64" s="61"/>
      <c r="DG64" s="61"/>
      <c r="DH64" s="61"/>
      <c r="DI64" s="61"/>
      <c r="DJ64" s="61"/>
      <c r="DK64" s="61"/>
      <c r="DL64" s="61"/>
      <c r="DM64" s="61"/>
      <c r="DN64" s="61"/>
      <c r="DO64" s="61"/>
      <c r="DP64" s="61"/>
      <c r="DQ64" s="61"/>
      <c r="DR64" s="61"/>
      <c r="DS64" s="61"/>
      <c r="DT64" s="61"/>
      <c r="DU64" s="61"/>
      <c r="DV64" s="61"/>
      <c r="DW64" s="61"/>
      <c r="DX64" s="61"/>
      <c r="DY64" s="61"/>
      <c r="DZ64" s="61"/>
      <c r="EA64" s="61"/>
      <c r="EB64" s="61"/>
      <c r="EC64" s="61"/>
      <c r="ED64" s="61"/>
      <c r="EE64" s="61"/>
      <c r="EF64" s="61"/>
      <c r="EG64" s="61"/>
      <c r="EH64" s="61"/>
      <c r="EI64" s="61"/>
      <c r="EJ64" s="61"/>
      <c r="EK64" s="61"/>
      <c r="EL64" s="61"/>
      <c r="EM64" s="61"/>
      <c r="EN64" s="61"/>
      <c r="EO64" s="61"/>
      <c r="EP64" s="61"/>
      <c r="EQ64" s="61"/>
      <c r="ER64" s="61"/>
      <c r="ES64" s="61"/>
      <c r="ET64" s="61"/>
      <c r="EU64" s="61"/>
      <c r="EV64" s="61"/>
      <c r="EW64" s="61"/>
      <c r="EX64" s="61"/>
      <c r="EY64" s="61"/>
      <c r="EZ64" s="61"/>
      <c r="FA64" s="61"/>
      <c r="FB64" s="61"/>
      <c r="FC64" s="61"/>
      <c r="FD64" s="61"/>
      <c r="FE64" s="61"/>
      <c r="FF64" s="61"/>
      <c r="FG64" s="61"/>
      <c r="FH64" s="61"/>
      <c r="FI64" s="61"/>
      <c r="FJ64" s="61"/>
      <c r="FK64" s="61"/>
      <c r="FL64" s="61"/>
      <c r="FM64" s="61"/>
      <c r="FN64" s="61"/>
      <c r="FO64" s="61"/>
      <c r="FP64" s="61"/>
      <c r="FQ64" s="61"/>
      <c r="FR64" s="61"/>
      <c r="FS64" s="61"/>
      <c r="FT64" s="61"/>
      <c r="FU64" s="61"/>
      <c r="FV64" s="61"/>
      <c r="FW64" s="61"/>
      <c r="FX64" s="61"/>
      <c r="FY64" s="61"/>
      <c r="FZ64" s="61"/>
      <c r="GA64" s="61"/>
      <c r="GB64" s="61"/>
      <c r="GC64" s="61"/>
      <c r="GD64" s="61"/>
      <c r="GE64" s="61"/>
      <c r="GF64" s="61"/>
      <c r="GG64" s="61"/>
      <c r="GH64" s="61"/>
      <c r="GI64" s="61"/>
      <c r="GJ64" s="61"/>
      <c r="GK64" s="61"/>
      <c r="GL64" s="61"/>
      <c r="GM64" s="61"/>
      <c r="GN64" s="61"/>
      <c r="GO64" s="61"/>
      <c r="GP64" s="61"/>
      <c r="GQ64" s="61"/>
      <c r="GR64" s="61"/>
      <c r="GS64" s="61"/>
      <c r="GT64" s="61"/>
      <c r="GU64" s="61"/>
      <c r="GV64" s="61"/>
      <c r="GW64" s="61"/>
      <c r="GX64" s="61"/>
      <c r="GY64" s="61"/>
      <c r="GZ64" s="61"/>
      <c r="HA64" s="61"/>
      <c r="HB64" s="61"/>
      <c r="HC64" s="61"/>
      <c r="HD64" s="61"/>
      <c r="HE64" s="61"/>
      <c r="HF64" s="61"/>
      <c r="HG64" s="61"/>
      <c r="HH64" s="61"/>
      <c r="HI64" s="61"/>
      <c r="HJ64" s="61"/>
      <c r="HK64" s="61"/>
      <c r="HL64" s="61"/>
      <c r="HM64" s="61"/>
      <c r="HN64" s="61"/>
      <c r="HO64" s="61"/>
      <c r="HP64" s="61"/>
      <c r="HQ64" s="61"/>
      <c r="HR64" s="61"/>
      <c r="HS64" s="61"/>
      <c r="HT64" s="61"/>
      <c r="HU64" s="61"/>
      <c r="HV64" s="61"/>
      <c r="HW64" s="61"/>
      <c r="HX64" s="61"/>
      <c r="HY64" s="61"/>
      <c r="HZ64" s="61"/>
      <c r="IA64" s="61"/>
      <c r="IB64" s="61"/>
      <c r="IC64" s="61"/>
      <c r="ID64" s="61"/>
      <c r="IE64" s="61"/>
      <c r="IF64" s="61"/>
      <c r="IG64" s="61"/>
      <c r="IH64" s="61"/>
      <c r="II64" s="61"/>
      <c r="IJ64" s="61"/>
      <c r="IK64" s="61"/>
      <c r="IL64" s="61"/>
      <c r="IM64" s="61"/>
      <c r="IN64" s="61"/>
      <c r="IO64" s="61"/>
      <c r="IP64" s="61"/>
      <c r="IQ64" s="61"/>
      <c r="IR64" s="61"/>
      <c r="IS64" s="61"/>
      <c r="IT64" s="61"/>
      <c r="IU64" s="61"/>
      <c r="IV64" s="61"/>
      <c r="IW64" s="61"/>
      <c r="IX64" s="61"/>
      <c r="IY64" s="61"/>
      <c r="IZ64" s="61"/>
    </row>
    <row r="65" spans="1:260" s="62" customFormat="1" ht="15" customHeight="1" x14ac:dyDescent="0.2">
      <c r="A65" s="78"/>
      <c r="B65" s="78"/>
      <c r="C65" s="78"/>
      <c r="D65" s="78"/>
      <c r="E65" s="92"/>
      <c r="F65" s="92"/>
      <c r="G65" s="92"/>
      <c r="H65" s="64" t="s">
        <v>7</v>
      </c>
      <c r="I65" s="166">
        <f>F44</f>
        <v>0</v>
      </c>
      <c r="J65" s="166"/>
      <c r="K65" s="166"/>
      <c r="L65" s="166"/>
      <c r="M65" s="66"/>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61"/>
      <c r="DE65" s="61"/>
      <c r="DF65" s="61"/>
      <c r="DG65" s="61"/>
      <c r="DH65" s="61"/>
      <c r="DI65" s="61"/>
      <c r="DJ65" s="61"/>
      <c r="DK65" s="61"/>
      <c r="DL65" s="61"/>
      <c r="DM65" s="61"/>
      <c r="DN65" s="61"/>
      <c r="DO65" s="61"/>
      <c r="DP65" s="61"/>
      <c r="DQ65" s="61"/>
      <c r="DR65" s="61"/>
      <c r="DS65" s="61"/>
      <c r="DT65" s="61"/>
      <c r="DU65" s="61"/>
      <c r="DV65" s="61"/>
      <c r="DW65" s="61"/>
      <c r="DX65" s="61"/>
      <c r="DY65" s="61"/>
      <c r="DZ65" s="61"/>
      <c r="EA65" s="61"/>
      <c r="EB65" s="61"/>
      <c r="EC65" s="61"/>
      <c r="ED65" s="61"/>
      <c r="EE65" s="61"/>
      <c r="EF65" s="61"/>
      <c r="EG65" s="61"/>
      <c r="EH65" s="61"/>
      <c r="EI65" s="61"/>
      <c r="EJ65" s="61"/>
      <c r="EK65" s="61"/>
      <c r="EL65" s="61"/>
      <c r="EM65" s="61"/>
      <c r="EN65" s="61"/>
      <c r="EO65" s="61"/>
      <c r="EP65" s="61"/>
      <c r="EQ65" s="61"/>
      <c r="ER65" s="61"/>
      <c r="ES65" s="61"/>
      <c r="ET65" s="61"/>
      <c r="EU65" s="61"/>
      <c r="EV65" s="61"/>
      <c r="EW65" s="61"/>
      <c r="EX65" s="61"/>
      <c r="EY65" s="61"/>
      <c r="EZ65" s="61"/>
      <c r="FA65" s="61"/>
      <c r="FB65" s="61"/>
      <c r="FC65" s="61"/>
      <c r="FD65" s="61"/>
      <c r="FE65" s="61"/>
      <c r="FF65" s="61"/>
      <c r="FG65" s="61"/>
      <c r="FH65" s="61"/>
      <c r="FI65" s="61"/>
      <c r="FJ65" s="61"/>
      <c r="FK65" s="61"/>
      <c r="FL65" s="61"/>
      <c r="FM65" s="61"/>
      <c r="FN65" s="61"/>
      <c r="FO65" s="61"/>
      <c r="FP65" s="61"/>
      <c r="FQ65" s="61"/>
      <c r="FR65" s="61"/>
      <c r="FS65" s="61"/>
      <c r="FT65" s="61"/>
      <c r="FU65" s="61"/>
      <c r="FV65" s="61"/>
      <c r="FW65" s="61"/>
      <c r="FX65" s="61"/>
      <c r="FY65" s="61"/>
      <c r="FZ65" s="61"/>
      <c r="GA65" s="61"/>
      <c r="GB65" s="61"/>
      <c r="GC65" s="61"/>
      <c r="GD65" s="61"/>
      <c r="GE65" s="61"/>
      <c r="GF65" s="61"/>
      <c r="GG65" s="61"/>
      <c r="GH65" s="61"/>
      <c r="GI65" s="61"/>
      <c r="GJ65" s="61"/>
      <c r="GK65" s="61"/>
      <c r="GL65" s="61"/>
      <c r="GM65" s="61"/>
      <c r="GN65" s="61"/>
      <c r="GO65" s="61"/>
      <c r="GP65" s="61"/>
      <c r="GQ65" s="61"/>
      <c r="GR65" s="61"/>
      <c r="GS65" s="61"/>
      <c r="GT65" s="61"/>
      <c r="GU65" s="61"/>
      <c r="GV65" s="61"/>
      <c r="GW65" s="61"/>
      <c r="GX65" s="61"/>
      <c r="GY65" s="61"/>
      <c r="GZ65" s="61"/>
      <c r="HA65" s="61"/>
      <c r="HB65" s="61"/>
      <c r="HC65" s="61"/>
      <c r="HD65" s="61"/>
      <c r="HE65" s="61"/>
      <c r="HF65" s="61"/>
      <c r="HG65" s="61"/>
      <c r="HH65" s="61"/>
      <c r="HI65" s="61"/>
      <c r="HJ65" s="61"/>
      <c r="HK65" s="61"/>
      <c r="HL65" s="61"/>
      <c r="HM65" s="61"/>
      <c r="HN65" s="61"/>
      <c r="HO65" s="61"/>
      <c r="HP65" s="61"/>
      <c r="HQ65" s="61"/>
      <c r="HR65" s="61"/>
      <c r="HS65" s="61"/>
      <c r="HT65" s="61"/>
      <c r="HU65" s="61"/>
      <c r="HV65" s="61"/>
      <c r="HW65" s="61"/>
      <c r="HX65" s="61"/>
      <c r="HY65" s="61"/>
      <c r="HZ65" s="61"/>
      <c r="IA65" s="61"/>
      <c r="IB65" s="61"/>
      <c r="IC65" s="61"/>
      <c r="ID65" s="61"/>
      <c r="IE65" s="61"/>
      <c r="IF65" s="61"/>
      <c r="IG65" s="61"/>
      <c r="IH65" s="61"/>
      <c r="II65" s="61"/>
      <c r="IJ65" s="61"/>
      <c r="IK65" s="61"/>
      <c r="IL65" s="61"/>
      <c r="IM65" s="61"/>
      <c r="IN65" s="61"/>
      <c r="IO65" s="61"/>
      <c r="IP65" s="61"/>
      <c r="IQ65" s="61"/>
      <c r="IR65" s="61"/>
      <c r="IS65" s="61"/>
      <c r="IT65" s="61"/>
      <c r="IU65" s="61"/>
      <c r="IV65" s="61"/>
      <c r="IW65" s="61"/>
      <c r="IX65" s="61"/>
      <c r="IY65" s="61"/>
      <c r="IZ65" s="61"/>
    </row>
    <row r="66" spans="1:260" s="62" customFormat="1" ht="15" customHeight="1" x14ac:dyDescent="0.2">
      <c r="A66" s="78"/>
      <c r="B66" s="78"/>
      <c r="C66" s="78"/>
      <c r="D66" s="78"/>
      <c r="E66" s="92"/>
      <c r="F66" s="92"/>
      <c r="G66" s="92"/>
      <c r="H66" s="92"/>
      <c r="I66" s="92"/>
      <c r="J66" s="92"/>
      <c r="K66" s="92"/>
      <c r="L66" s="92"/>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1"/>
      <c r="DV66" s="61"/>
      <c r="DW66" s="61"/>
      <c r="DX66" s="61"/>
      <c r="DY66" s="61"/>
      <c r="DZ66" s="61"/>
      <c r="EA66" s="61"/>
      <c r="EB66" s="61"/>
      <c r="EC66" s="61"/>
      <c r="ED66" s="61"/>
      <c r="EE66" s="61"/>
      <c r="EF66" s="61"/>
      <c r="EG66" s="61"/>
      <c r="EH66" s="61"/>
      <c r="EI66" s="61"/>
      <c r="EJ66" s="61"/>
      <c r="EK66" s="61"/>
      <c r="EL66" s="61"/>
      <c r="EM66" s="61"/>
      <c r="EN66" s="61"/>
      <c r="EO66" s="61"/>
      <c r="EP66" s="61"/>
      <c r="EQ66" s="61"/>
      <c r="ER66" s="61"/>
      <c r="ES66" s="61"/>
      <c r="ET66" s="61"/>
      <c r="EU66" s="61"/>
      <c r="EV66" s="61"/>
      <c r="EW66" s="61"/>
      <c r="EX66" s="61"/>
      <c r="EY66" s="61"/>
      <c r="EZ66" s="61"/>
      <c r="FA66" s="61"/>
      <c r="FB66" s="61"/>
      <c r="FC66" s="61"/>
      <c r="FD66" s="61"/>
      <c r="FE66" s="61"/>
      <c r="FF66" s="61"/>
      <c r="FG66" s="61"/>
      <c r="FH66" s="61"/>
      <c r="FI66" s="61"/>
      <c r="FJ66" s="61"/>
      <c r="FK66" s="61"/>
      <c r="FL66" s="61"/>
      <c r="FM66" s="61"/>
      <c r="FN66" s="61"/>
      <c r="FO66" s="61"/>
      <c r="FP66" s="61"/>
      <c r="FQ66" s="61"/>
      <c r="FR66" s="61"/>
      <c r="FS66" s="61"/>
      <c r="FT66" s="61"/>
      <c r="FU66" s="61"/>
      <c r="FV66" s="61"/>
      <c r="FW66" s="61"/>
      <c r="FX66" s="61"/>
      <c r="FY66" s="61"/>
      <c r="FZ66" s="61"/>
      <c r="GA66" s="61"/>
      <c r="GB66" s="61"/>
      <c r="GC66" s="61"/>
      <c r="GD66" s="61"/>
      <c r="GE66" s="61"/>
      <c r="GF66" s="61"/>
      <c r="GG66" s="61"/>
      <c r="GH66" s="61"/>
      <c r="GI66" s="61"/>
      <c r="GJ66" s="61"/>
      <c r="GK66" s="61"/>
      <c r="GL66" s="61"/>
      <c r="GM66" s="61"/>
      <c r="GN66" s="61"/>
      <c r="GO66" s="61"/>
      <c r="GP66" s="61"/>
      <c r="GQ66" s="61"/>
      <c r="GR66" s="61"/>
      <c r="GS66" s="61"/>
      <c r="GT66" s="61"/>
      <c r="GU66" s="61"/>
      <c r="GV66" s="61"/>
      <c r="GW66" s="61"/>
      <c r="GX66" s="61"/>
      <c r="GY66" s="61"/>
      <c r="GZ66" s="61"/>
      <c r="HA66" s="61"/>
      <c r="HB66" s="61"/>
      <c r="HC66" s="61"/>
      <c r="HD66" s="61"/>
      <c r="HE66" s="61"/>
      <c r="HF66" s="61"/>
      <c r="HG66" s="61"/>
      <c r="HH66" s="61"/>
      <c r="HI66" s="61"/>
      <c r="HJ66" s="61"/>
      <c r="HK66" s="61"/>
      <c r="HL66" s="61"/>
      <c r="HM66" s="61"/>
      <c r="HN66" s="61"/>
      <c r="HO66" s="61"/>
      <c r="HP66" s="61"/>
      <c r="HQ66" s="61"/>
      <c r="HR66" s="61"/>
      <c r="HS66" s="61"/>
      <c r="HT66" s="61"/>
      <c r="HU66" s="61"/>
      <c r="HV66" s="61"/>
      <c r="HW66" s="61"/>
      <c r="HX66" s="61"/>
      <c r="HY66" s="61"/>
      <c r="HZ66" s="61"/>
      <c r="IA66" s="61"/>
      <c r="IB66" s="61"/>
      <c r="IC66" s="61"/>
      <c r="ID66" s="61"/>
      <c r="IE66" s="61"/>
      <c r="IF66" s="61"/>
      <c r="IG66" s="61"/>
      <c r="IH66" s="61"/>
      <c r="II66" s="61"/>
      <c r="IJ66" s="61"/>
      <c r="IK66" s="61"/>
      <c r="IL66" s="61"/>
      <c r="IM66" s="61"/>
      <c r="IN66" s="61"/>
      <c r="IO66" s="61"/>
      <c r="IP66" s="61"/>
      <c r="IQ66" s="61"/>
      <c r="IR66" s="61"/>
      <c r="IS66" s="61"/>
      <c r="IT66" s="61"/>
      <c r="IU66" s="61"/>
      <c r="IV66" s="61"/>
      <c r="IW66" s="61"/>
      <c r="IX66" s="61"/>
      <c r="IY66" s="61"/>
      <c r="IZ66" s="61"/>
    </row>
    <row r="67" spans="1:260" s="62" customFormat="1" ht="15" customHeight="1" x14ac:dyDescent="0.2">
      <c r="A67" s="78"/>
      <c r="B67" s="78"/>
      <c r="C67" s="78"/>
      <c r="D67" s="78"/>
      <c r="E67" s="92"/>
      <c r="F67" s="92"/>
      <c r="G67" s="92"/>
      <c r="H67" s="92"/>
      <c r="I67" s="92"/>
      <c r="J67" s="92"/>
      <c r="K67" s="92"/>
      <c r="L67" s="92"/>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c r="DH67" s="61"/>
      <c r="DI67" s="61"/>
      <c r="DJ67" s="61"/>
      <c r="DK67" s="61"/>
      <c r="DL67" s="61"/>
      <c r="DM67" s="61"/>
      <c r="DN67" s="61"/>
      <c r="DO67" s="61"/>
      <c r="DP67" s="61"/>
      <c r="DQ67" s="61"/>
      <c r="DR67" s="61"/>
      <c r="DS67" s="61"/>
      <c r="DT67" s="61"/>
      <c r="DU67" s="61"/>
      <c r="DV67" s="61"/>
      <c r="DW67" s="61"/>
      <c r="DX67" s="61"/>
      <c r="DY67" s="61"/>
      <c r="DZ67" s="61"/>
      <c r="EA67" s="61"/>
      <c r="EB67" s="61"/>
      <c r="EC67" s="61"/>
      <c r="ED67" s="61"/>
      <c r="EE67" s="61"/>
      <c r="EF67" s="61"/>
      <c r="EG67" s="61"/>
      <c r="EH67" s="61"/>
      <c r="EI67" s="61"/>
      <c r="EJ67" s="61"/>
      <c r="EK67" s="61"/>
      <c r="EL67" s="61"/>
      <c r="EM67" s="61"/>
      <c r="EN67" s="61"/>
      <c r="EO67" s="61"/>
      <c r="EP67" s="61"/>
      <c r="EQ67" s="61"/>
      <c r="ER67" s="61"/>
      <c r="ES67" s="61"/>
      <c r="ET67" s="61"/>
      <c r="EU67" s="61"/>
      <c r="EV67" s="61"/>
      <c r="EW67" s="61"/>
      <c r="EX67" s="61"/>
      <c r="EY67" s="61"/>
      <c r="EZ67" s="61"/>
      <c r="FA67" s="61"/>
      <c r="FB67" s="61"/>
      <c r="FC67" s="61"/>
      <c r="FD67" s="61"/>
      <c r="FE67" s="61"/>
      <c r="FF67" s="61"/>
      <c r="FG67" s="61"/>
      <c r="FH67" s="61"/>
      <c r="FI67" s="61"/>
      <c r="FJ67" s="61"/>
      <c r="FK67" s="61"/>
      <c r="FL67" s="61"/>
      <c r="FM67" s="61"/>
      <c r="FN67" s="61"/>
      <c r="FO67" s="61"/>
      <c r="FP67" s="61"/>
      <c r="FQ67" s="61"/>
      <c r="FR67" s="61"/>
      <c r="FS67" s="61"/>
      <c r="FT67" s="61"/>
      <c r="FU67" s="61"/>
      <c r="FV67" s="61"/>
      <c r="FW67" s="61"/>
      <c r="FX67" s="61"/>
      <c r="FY67" s="61"/>
      <c r="FZ67" s="61"/>
      <c r="GA67" s="61"/>
      <c r="GB67" s="61"/>
      <c r="GC67" s="61"/>
      <c r="GD67" s="61"/>
      <c r="GE67" s="61"/>
      <c r="GF67" s="61"/>
      <c r="GG67" s="61"/>
      <c r="GH67" s="61"/>
      <c r="GI67" s="61"/>
      <c r="GJ67" s="61"/>
      <c r="GK67" s="61"/>
      <c r="GL67" s="61"/>
      <c r="GM67" s="61"/>
      <c r="GN67" s="61"/>
      <c r="GO67" s="61"/>
      <c r="GP67" s="61"/>
      <c r="GQ67" s="61"/>
      <c r="GR67" s="61"/>
      <c r="GS67" s="61"/>
      <c r="GT67" s="61"/>
      <c r="GU67" s="61"/>
      <c r="GV67" s="61"/>
      <c r="GW67" s="61"/>
      <c r="GX67" s="61"/>
      <c r="GY67" s="61"/>
      <c r="GZ67" s="61"/>
      <c r="HA67" s="61"/>
      <c r="HB67" s="61"/>
      <c r="HC67" s="61"/>
      <c r="HD67" s="61"/>
      <c r="HE67" s="61"/>
      <c r="HF67" s="61"/>
      <c r="HG67" s="61"/>
      <c r="HH67" s="61"/>
      <c r="HI67" s="61"/>
      <c r="HJ67" s="61"/>
      <c r="HK67" s="61"/>
      <c r="HL67" s="61"/>
      <c r="HM67" s="61"/>
      <c r="HN67" s="61"/>
      <c r="HO67" s="61"/>
      <c r="HP67" s="61"/>
      <c r="HQ67" s="61"/>
      <c r="HR67" s="61"/>
      <c r="HS67" s="61"/>
      <c r="HT67" s="61"/>
      <c r="HU67" s="61"/>
      <c r="HV67" s="61"/>
      <c r="HW67" s="61"/>
      <c r="HX67" s="61"/>
      <c r="HY67" s="61"/>
      <c r="HZ67" s="61"/>
      <c r="IA67" s="61"/>
      <c r="IB67" s="61"/>
      <c r="IC67" s="61"/>
      <c r="ID67" s="61"/>
      <c r="IE67" s="61"/>
      <c r="IF67" s="61"/>
      <c r="IG67" s="61"/>
      <c r="IH67" s="61"/>
      <c r="II67" s="61"/>
      <c r="IJ67" s="61"/>
      <c r="IK67" s="61"/>
      <c r="IL67" s="61"/>
      <c r="IM67" s="61"/>
      <c r="IN67" s="61"/>
      <c r="IO67" s="61"/>
      <c r="IP67" s="61"/>
      <c r="IQ67" s="61"/>
      <c r="IR67" s="61"/>
      <c r="IS67" s="61"/>
      <c r="IT67" s="61"/>
      <c r="IU67" s="61"/>
      <c r="IV67" s="61"/>
      <c r="IW67" s="61"/>
      <c r="IX67" s="61"/>
      <c r="IY67" s="61"/>
      <c r="IZ67" s="61"/>
    </row>
    <row r="68" spans="1:260" s="62" customFormat="1" ht="15" customHeight="1" x14ac:dyDescent="0.2">
      <c r="A68" s="63"/>
      <c r="B68" s="63"/>
      <c r="C68" s="63"/>
      <c r="D68" s="63"/>
      <c r="E68" s="64"/>
      <c r="F68" s="99"/>
      <c r="G68" s="99"/>
      <c r="H68" s="99"/>
      <c r="I68" s="99"/>
      <c r="J68" s="67"/>
      <c r="K68" s="67"/>
      <c r="L68" s="67"/>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1"/>
      <c r="DV68" s="61"/>
      <c r="DW68" s="61"/>
      <c r="DX68" s="61"/>
      <c r="DY68" s="61"/>
      <c r="DZ68" s="61"/>
      <c r="EA68" s="61"/>
      <c r="EB68" s="61"/>
      <c r="EC68" s="61"/>
      <c r="ED68" s="61"/>
      <c r="EE68" s="61"/>
      <c r="EF68" s="61"/>
      <c r="EG68" s="61"/>
      <c r="EH68" s="61"/>
      <c r="EI68" s="61"/>
      <c r="EJ68" s="61"/>
      <c r="EK68" s="61"/>
      <c r="EL68" s="61"/>
      <c r="EM68" s="61"/>
      <c r="EN68" s="61"/>
      <c r="EO68" s="61"/>
      <c r="EP68" s="61"/>
      <c r="EQ68" s="61"/>
      <c r="ER68" s="61"/>
      <c r="ES68" s="61"/>
      <c r="ET68" s="61"/>
      <c r="EU68" s="61"/>
      <c r="EV68" s="61"/>
      <c r="EW68" s="61"/>
      <c r="EX68" s="61"/>
      <c r="EY68" s="61"/>
      <c r="EZ68" s="61"/>
      <c r="FA68" s="61"/>
      <c r="FB68" s="61"/>
      <c r="FC68" s="61"/>
      <c r="FD68" s="61"/>
      <c r="FE68" s="61"/>
      <c r="FF68" s="61"/>
      <c r="FG68" s="61"/>
      <c r="FH68" s="61"/>
      <c r="FI68" s="61"/>
      <c r="FJ68" s="61"/>
      <c r="FK68" s="61"/>
      <c r="FL68" s="61"/>
      <c r="FM68" s="61"/>
      <c r="FN68" s="61"/>
      <c r="FO68" s="61"/>
      <c r="FP68" s="61"/>
      <c r="FQ68" s="61"/>
      <c r="FR68" s="61"/>
      <c r="FS68" s="61"/>
      <c r="FT68" s="61"/>
      <c r="FU68" s="61"/>
      <c r="FV68" s="61"/>
      <c r="FW68" s="61"/>
      <c r="FX68" s="61"/>
      <c r="FY68" s="61"/>
      <c r="FZ68" s="61"/>
      <c r="GA68" s="61"/>
      <c r="GB68" s="61"/>
      <c r="GC68" s="61"/>
      <c r="GD68" s="61"/>
      <c r="GE68" s="61"/>
      <c r="GF68" s="61"/>
      <c r="GG68" s="61"/>
      <c r="GH68" s="61"/>
      <c r="GI68" s="61"/>
      <c r="GJ68" s="61"/>
      <c r="GK68" s="61"/>
      <c r="GL68" s="61"/>
      <c r="GM68" s="61"/>
      <c r="GN68" s="61"/>
      <c r="GO68" s="61"/>
      <c r="GP68" s="61"/>
      <c r="GQ68" s="61"/>
      <c r="GR68" s="61"/>
      <c r="GS68" s="61"/>
      <c r="GT68" s="61"/>
      <c r="GU68" s="61"/>
      <c r="GV68" s="61"/>
      <c r="GW68" s="61"/>
      <c r="GX68" s="61"/>
      <c r="GY68" s="61"/>
      <c r="GZ68" s="61"/>
      <c r="HA68" s="61"/>
      <c r="HB68" s="61"/>
      <c r="HC68" s="61"/>
      <c r="HD68" s="61"/>
      <c r="HE68" s="61"/>
      <c r="HF68" s="61"/>
      <c r="HG68" s="61"/>
      <c r="HH68" s="61"/>
      <c r="HI68" s="61"/>
      <c r="HJ68" s="61"/>
      <c r="HK68" s="61"/>
      <c r="HL68" s="61"/>
      <c r="HM68" s="61"/>
      <c r="HN68" s="61"/>
      <c r="HO68" s="61"/>
      <c r="HP68" s="61"/>
      <c r="HQ68" s="61"/>
      <c r="HR68" s="61"/>
      <c r="HS68" s="61"/>
      <c r="HT68" s="61"/>
      <c r="HU68" s="61"/>
      <c r="HV68" s="61"/>
      <c r="HW68" s="61"/>
      <c r="HX68" s="61"/>
      <c r="HY68" s="61"/>
      <c r="HZ68" s="61"/>
      <c r="IA68" s="61"/>
      <c r="IB68" s="61"/>
      <c r="IC68" s="61"/>
      <c r="ID68" s="61"/>
      <c r="IE68" s="61"/>
      <c r="IF68" s="61"/>
      <c r="IG68" s="61"/>
      <c r="IH68" s="61"/>
      <c r="II68" s="61"/>
      <c r="IJ68" s="61"/>
      <c r="IK68" s="61"/>
      <c r="IL68" s="61"/>
      <c r="IM68" s="61"/>
      <c r="IN68" s="61"/>
      <c r="IO68" s="61"/>
      <c r="IP68" s="61"/>
      <c r="IQ68" s="61"/>
      <c r="IR68" s="61"/>
      <c r="IS68" s="61"/>
      <c r="IT68" s="61"/>
      <c r="IU68" s="61"/>
      <c r="IV68" s="61"/>
      <c r="IW68" s="61"/>
      <c r="IX68" s="61"/>
      <c r="IY68" s="61"/>
      <c r="IZ68" s="61"/>
    </row>
    <row r="69" spans="1:260" ht="18" customHeight="1" x14ac:dyDescent="0.15">
      <c r="A69" s="118"/>
      <c r="B69" s="118"/>
      <c r="C69" s="119"/>
      <c r="D69" s="118"/>
      <c r="E69" s="144" t="s">
        <v>10</v>
      </c>
      <c r="F69" s="145"/>
      <c r="G69" s="145"/>
      <c r="H69" s="145"/>
      <c r="I69" s="145"/>
      <c r="J69" s="146"/>
      <c r="K69" s="146"/>
      <c r="L69" s="147"/>
      <c r="M69" s="115"/>
    </row>
    <row r="70" spans="1:260" ht="16.5" customHeight="1" x14ac:dyDescent="0.15">
      <c r="A70" s="136" t="s">
        <v>11</v>
      </c>
      <c r="B70" s="137"/>
      <c r="C70" s="137"/>
      <c r="D70" s="117"/>
      <c r="E70" s="151" t="s">
        <v>12</v>
      </c>
      <c r="F70" s="152"/>
      <c r="G70" s="152"/>
      <c r="H70" s="152"/>
      <c r="I70" s="153"/>
      <c r="J70" s="116" t="s">
        <v>13</v>
      </c>
      <c r="K70" s="116" t="s">
        <v>14</v>
      </c>
      <c r="L70" s="116" t="s">
        <v>15</v>
      </c>
    </row>
    <row r="71" spans="1:260" ht="19" customHeight="1" x14ac:dyDescent="0.15">
      <c r="A71" s="103"/>
      <c r="B71" s="104"/>
      <c r="C71" s="103"/>
      <c r="D71" s="103"/>
      <c r="E71" s="171"/>
      <c r="F71" s="172"/>
      <c r="G71" s="172"/>
      <c r="H71" s="172"/>
      <c r="I71" s="172"/>
      <c r="J71" s="105"/>
      <c r="K71" s="106"/>
      <c r="L71" s="107">
        <f>J71*K71</f>
        <v>0</v>
      </c>
    </row>
    <row r="72" spans="1:260" ht="66" customHeight="1" x14ac:dyDescent="0.15">
      <c r="A72" s="108"/>
      <c r="B72" s="109"/>
      <c r="C72" s="109"/>
      <c r="D72" s="103"/>
      <c r="E72" s="172"/>
      <c r="F72" s="172"/>
      <c r="G72" s="172"/>
      <c r="H72" s="172"/>
      <c r="I72" s="172"/>
      <c r="J72" s="132"/>
      <c r="K72" s="106"/>
      <c r="L72" s="107">
        <f t="shared" ref="L72:L81" si="0">J72*K72</f>
        <v>0</v>
      </c>
    </row>
    <row r="73" spans="1:260" s="62" customFormat="1" ht="66" customHeight="1" x14ac:dyDescent="0.15">
      <c r="A73" s="110"/>
      <c r="B73" s="110"/>
      <c r="C73" s="110"/>
      <c r="D73" s="111"/>
      <c r="E73" s="169"/>
      <c r="F73" s="169"/>
      <c r="G73" s="169"/>
      <c r="H73" s="169"/>
      <c r="I73" s="169"/>
      <c r="J73" s="105"/>
      <c r="K73" s="106"/>
      <c r="L73" s="107">
        <f t="shared" si="0"/>
        <v>0</v>
      </c>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c r="DA73" s="61"/>
      <c r="DB73" s="61"/>
      <c r="DC73" s="61"/>
      <c r="DD73" s="61"/>
      <c r="DE73" s="61"/>
      <c r="DF73" s="61"/>
      <c r="DG73" s="61"/>
      <c r="DH73" s="61"/>
      <c r="DI73" s="61"/>
      <c r="DJ73" s="61"/>
      <c r="DK73" s="61"/>
      <c r="DL73" s="61"/>
      <c r="DM73" s="61"/>
      <c r="DN73" s="61"/>
      <c r="DO73" s="61"/>
      <c r="DP73" s="61"/>
      <c r="DQ73" s="61"/>
      <c r="DR73" s="61"/>
      <c r="DS73" s="61"/>
      <c r="DT73" s="61"/>
      <c r="DU73" s="61"/>
      <c r="DV73" s="61"/>
      <c r="DW73" s="61"/>
      <c r="DX73" s="61"/>
      <c r="DY73" s="61"/>
      <c r="DZ73" s="61"/>
      <c r="EA73" s="61"/>
      <c r="EB73" s="61"/>
      <c r="EC73" s="61"/>
      <c r="ED73" s="61"/>
      <c r="EE73" s="61"/>
      <c r="EF73" s="61"/>
      <c r="EG73" s="61"/>
      <c r="EH73" s="61"/>
      <c r="EI73" s="61"/>
      <c r="EJ73" s="61"/>
      <c r="EK73" s="61"/>
      <c r="EL73" s="61"/>
      <c r="EM73" s="61"/>
      <c r="EN73" s="61"/>
      <c r="EO73" s="61"/>
      <c r="EP73" s="61"/>
      <c r="EQ73" s="61"/>
      <c r="ER73" s="61"/>
      <c r="ES73" s="61"/>
      <c r="ET73" s="61"/>
      <c r="EU73" s="61"/>
      <c r="EV73" s="61"/>
      <c r="EW73" s="61"/>
      <c r="EX73" s="61"/>
      <c r="EY73" s="61"/>
      <c r="EZ73" s="61"/>
      <c r="FA73" s="61"/>
      <c r="FB73" s="61"/>
      <c r="FC73" s="61"/>
      <c r="FD73" s="61"/>
      <c r="FE73" s="61"/>
      <c r="FF73" s="61"/>
      <c r="FG73" s="61"/>
      <c r="FH73" s="61"/>
      <c r="FI73" s="61"/>
      <c r="FJ73" s="61"/>
      <c r="FK73" s="61"/>
      <c r="FL73" s="61"/>
      <c r="FM73" s="61"/>
      <c r="FN73" s="61"/>
      <c r="FO73" s="61"/>
      <c r="FP73" s="61"/>
      <c r="FQ73" s="61"/>
      <c r="FR73" s="61"/>
      <c r="FS73" s="61"/>
      <c r="FT73" s="61"/>
      <c r="FU73" s="61"/>
      <c r="FV73" s="61"/>
      <c r="FW73" s="61"/>
      <c r="FX73" s="61"/>
      <c r="FY73" s="61"/>
      <c r="FZ73" s="61"/>
      <c r="GA73" s="61"/>
      <c r="GB73" s="61"/>
      <c r="GC73" s="61"/>
      <c r="GD73" s="61"/>
      <c r="GE73" s="61"/>
      <c r="GF73" s="61"/>
      <c r="GG73" s="61"/>
      <c r="GH73" s="61"/>
      <c r="GI73" s="61"/>
      <c r="GJ73" s="61"/>
      <c r="GK73" s="61"/>
      <c r="GL73" s="61"/>
      <c r="GM73" s="61"/>
      <c r="GN73" s="61"/>
      <c r="GO73" s="61"/>
      <c r="GP73" s="61"/>
      <c r="GQ73" s="61"/>
      <c r="GR73" s="61"/>
      <c r="GS73" s="61"/>
      <c r="GT73" s="61"/>
      <c r="GU73" s="61"/>
      <c r="GV73" s="61"/>
      <c r="GW73" s="61"/>
      <c r="GX73" s="61"/>
      <c r="GY73" s="61"/>
      <c r="GZ73" s="61"/>
      <c r="HA73" s="61"/>
      <c r="HB73" s="61"/>
      <c r="HC73" s="61"/>
      <c r="HD73" s="61"/>
      <c r="HE73" s="61"/>
      <c r="HF73" s="61"/>
      <c r="HG73" s="61"/>
      <c r="HH73" s="61"/>
      <c r="HI73" s="61"/>
      <c r="HJ73" s="61"/>
      <c r="HK73" s="61"/>
      <c r="HL73" s="61"/>
      <c r="HM73" s="61"/>
      <c r="HN73" s="61"/>
      <c r="HO73" s="61"/>
      <c r="HP73" s="61"/>
      <c r="HQ73" s="61"/>
      <c r="HR73" s="61"/>
      <c r="HS73" s="61"/>
      <c r="HT73" s="61"/>
      <c r="HU73" s="61"/>
      <c r="HV73" s="61"/>
      <c r="HW73" s="61"/>
      <c r="HX73" s="61"/>
      <c r="HY73" s="61"/>
      <c r="HZ73" s="61"/>
      <c r="IA73" s="61"/>
      <c r="IB73" s="61"/>
      <c r="IC73" s="61"/>
      <c r="ID73" s="61"/>
      <c r="IE73" s="61"/>
      <c r="IF73" s="61"/>
      <c r="IG73" s="61"/>
      <c r="IH73" s="61"/>
      <c r="II73" s="61"/>
      <c r="IJ73" s="61"/>
      <c r="IK73" s="61"/>
      <c r="IL73" s="61"/>
      <c r="IM73" s="61"/>
      <c r="IN73" s="61"/>
      <c r="IO73" s="61"/>
      <c r="IP73" s="61"/>
      <c r="IQ73" s="61"/>
      <c r="IR73" s="61"/>
      <c r="IS73" s="61"/>
      <c r="IT73" s="61"/>
      <c r="IU73" s="61"/>
      <c r="IV73" s="61"/>
      <c r="IW73" s="61"/>
      <c r="IX73" s="61"/>
      <c r="IY73" s="61"/>
      <c r="IZ73" s="61"/>
    </row>
    <row r="74" spans="1:260" s="62" customFormat="1" ht="66" customHeight="1" x14ac:dyDescent="0.15">
      <c r="A74" s="110"/>
      <c r="B74" s="110"/>
      <c r="C74" s="110"/>
      <c r="D74" s="111"/>
      <c r="E74" s="170"/>
      <c r="F74" s="170"/>
      <c r="G74" s="170"/>
      <c r="H74" s="170"/>
      <c r="I74" s="170"/>
      <c r="J74" s="105"/>
      <c r="K74" s="106"/>
      <c r="L74" s="107">
        <f t="shared" si="0"/>
        <v>0</v>
      </c>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c r="DA74" s="61"/>
      <c r="DB74" s="61"/>
      <c r="DC74" s="61"/>
      <c r="DD74" s="61"/>
      <c r="DE74" s="61"/>
      <c r="DF74" s="61"/>
      <c r="DG74" s="61"/>
      <c r="DH74" s="61"/>
      <c r="DI74" s="61"/>
      <c r="DJ74" s="61"/>
      <c r="DK74" s="61"/>
      <c r="DL74" s="61"/>
      <c r="DM74" s="61"/>
      <c r="DN74" s="61"/>
      <c r="DO74" s="61"/>
      <c r="DP74" s="61"/>
      <c r="DQ74" s="61"/>
      <c r="DR74" s="61"/>
      <c r="DS74" s="61"/>
      <c r="DT74" s="61"/>
      <c r="DU74" s="61"/>
      <c r="DV74" s="61"/>
      <c r="DW74" s="61"/>
      <c r="DX74" s="61"/>
      <c r="DY74" s="61"/>
      <c r="DZ74" s="61"/>
      <c r="EA74" s="61"/>
      <c r="EB74" s="61"/>
      <c r="EC74" s="61"/>
      <c r="ED74" s="61"/>
      <c r="EE74" s="61"/>
      <c r="EF74" s="61"/>
      <c r="EG74" s="61"/>
      <c r="EH74" s="61"/>
      <c r="EI74" s="61"/>
      <c r="EJ74" s="61"/>
      <c r="EK74" s="61"/>
      <c r="EL74" s="61"/>
      <c r="EM74" s="61"/>
      <c r="EN74" s="61"/>
      <c r="EO74" s="61"/>
      <c r="EP74" s="61"/>
      <c r="EQ74" s="61"/>
      <c r="ER74" s="61"/>
      <c r="ES74" s="61"/>
      <c r="ET74" s="61"/>
      <c r="EU74" s="61"/>
      <c r="EV74" s="61"/>
      <c r="EW74" s="61"/>
      <c r="EX74" s="61"/>
      <c r="EY74" s="61"/>
      <c r="EZ74" s="61"/>
      <c r="FA74" s="61"/>
      <c r="FB74" s="61"/>
      <c r="FC74" s="61"/>
      <c r="FD74" s="61"/>
      <c r="FE74" s="61"/>
      <c r="FF74" s="61"/>
      <c r="FG74" s="61"/>
      <c r="FH74" s="61"/>
      <c r="FI74" s="61"/>
      <c r="FJ74" s="61"/>
      <c r="FK74" s="61"/>
      <c r="FL74" s="61"/>
      <c r="FM74" s="61"/>
      <c r="FN74" s="61"/>
      <c r="FO74" s="61"/>
      <c r="FP74" s="61"/>
      <c r="FQ74" s="61"/>
      <c r="FR74" s="61"/>
      <c r="FS74" s="61"/>
      <c r="FT74" s="61"/>
      <c r="FU74" s="61"/>
      <c r="FV74" s="61"/>
      <c r="FW74" s="61"/>
      <c r="FX74" s="61"/>
      <c r="FY74" s="61"/>
      <c r="FZ74" s="61"/>
      <c r="GA74" s="61"/>
      <c r="GB74" s="61"/>
      <c r="GC74" s="61"/>
      <c r="GD74" s="61"/>
      <c r="GE74" s="61"/>
      <c r="GF74" s="61"/>
      <c r="GG74" s="61"/>
      <c r="GH74" s="61"/>
      <c r="GI74" s="61"/>
      <c r="GJ74" s="61"/>
      <c r="GK74" s="61"/>
      <c r="GL74" s="61"/>
      <c r="GM74" s="61"/>
      <c r="GN74" s="61"/>
      <c r="GO74" s="61"/>
      <c r="GP74" s="61"/>
      <c r="GQ74" s="61"/>
      <c r="GR74" s="61"/>
      <c r="GS74" s="61"/>
      <c r="GT74" s="61"/>
      <c r="GU74" s="61"/>
      <c r="GV74" s="61"/>
      <c r="GW74" s="61"/>
      <c r="GX74" s="61"/>
      <c r="GY74" s="61"/>
      <c r="GZ74" s="61"/>
      <c r="HA74" s="61"/>
      <c r="HB74" s="61"/>
      <c r="HC74" s="61"/>
      <c r="HD74" s="61"/>
      <c r="HE74" s="61"/>
      <c r="HF74" s="61"/>
      <c r="HG74" s="61"/>
      <c r="HH74" s="61"/>
      <c r="HI74" s="61"/>
      <c r="HJ74" s="61"/>
      <c r="HK74" s="61"/>
      <c r="HL74" s="61"/>
      <c r="HM74" s="61"/>
      <c r="HN74" s="61"/>
      <c r="HO74" s="61"/>
      <c r="HP74" s="61"/>
      <c r="HQ74" s="61"/>
      <c r="HR74" s="61"/>
      <c r="HS74" s="61"/>
      <c r="HT74" s="61"/>
      <c r="HU74" s="61"/>
      <c r="HV74" s="61"/>
      <c r="HW74" s="61"/>
      <c r="HX74" s="61"/>
      <c r="HY74" s="61"/>
      <c r="HZ74" s="61"/>
      <c r="IA74" s="61"/>
      <c r="IB74" s="61"/>
      <c r="IC74" s="61"/>
      <c r="ID74" s="61"/>
      <c r="IE74" s="61"/>
      <c r="IF74" s="61"/>
      <c r="IG74" s="61"/>
      <c r="IH74" s="61"/>
      <c r="II74" s="61"/>
      <c r="IJ74" s="61"/>
      <c r="IK74" s="61"/>
      <c r="IL74" s="61"/>
      <c r="IM74" s="61"/>
      <c r="IN74" s="61"/>
      <c r="IO74" s="61"/>
      <c r="IP74" s="61"/>
      <c r="IQ74" s="61"/>
      <c r="IR74" s="61"/>
      <c r="IS74" s="61"/>
      <c r="IT74" s="61"/>
      <c r="IU74" s="61"/>
      <c r="IV74" s="61"/>
      <c r="IW74" s="61"/>
      <c r="IX74" s="61"/>
      <c r="IY74" s="61"/>
      <c r="IZ74" s="61"/>
    </row>
    <row r="75" spans="1:260" s="62" customFormat="1" ht="66" customHeight="1" x14ac:dyDescent="0.15">
      <c r="A75" s="112"/>
      <c r="B75" s="112"/>
      <c r="C75" s="112"/>
      <c r="D75" s="111"/>
      <c r="E75" s="170"/>
      <c r="F75" s="170"/>
      <c r="G75" s="170"/>
      <c r="H75" s="170"/>
      <c r="I75" s="170"/>
      <c r="J75" s="105"/>
      <c r="K75" s="106"/>
      <c r="L75" s="107">
        <f t="shared" si="0"/>
        <v>0</v>
      </c>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1"/>
      <c r="DC75" s="61"/>
      <c r="DD75" s="61"/>
      <c r="DE75" s="61"/>
      <c r="DF75" s="61"/>
      <c r="DG75" s="61"/>
      <c r="DH75" s="61"/>
      <c r="DI75" s="61"/>
      <c r="DJ75" s="61"/>
      <c r="DK75" s="61"/>
      <c r="DL75" s="61"/>
      <c r="DM75" s="61"/>
      <c r="DN75" s="61"/>
      <c r="DO75" s="61"/>
      <c r="DP75" s="61"/>
      <c r="DQ75" s="61"/>
      <c r="DR75" s="61"/>
      <c r="DS75" s="61"/>
      <c r="DT75" s="61"/>
      <c r="DU75" s="61"/>
      <c r="DV75" s="61"/>
      <c r="DW75" s="61"/>
      <c r="DX75" s="61"/>
      <c r="DY75" s="61"/>
      <c r="DZ75" s="61"/>
      <c r="EA75" s="61"/>
      <c r="EB75" s="61"/>
      <c r="EC75" s="61"/>
      <c r="ED75" s="61"/>
      <c r="EE75" s="61"/>
      <c r="EF75" s="61"/>
      <c r="EG75" s="61"/>
      <c r="EH75" s="61"/>
      <c r="EI75" s="61"/>
      <c r="EJ75" s="61"/>
      <c r="EK75" s="61"/>
      <c r="EL75" s="61"/>
      <c r="EM75" s="61"/>
      <c r="EN75" s="61"/>
      <c r="EO75" s="61"/>
      <c r="EP75" s="61"/>
      <c r="EQ75" s="61"/>
      <c r="ER75" s="61"/>
      <c r="ES75" s="61"/>
      <c r="ET75" s="61"/>
      <c r="EU75" s="61"/>
      <c r="EV75" s="61"/>
      <c r="EW75" s="61"/>
      <c r="EX75" s="61"/>
      <c r="EY75" s="61"/>
      <c r="EZ75" s="61"/>
      <c r="FA75" s="61"/>
      <c r="FB75" s="61"/>
      <c r="FC75" s="61"/>
      <c r="FD75" s="61"/>
      <c r="FE75" s="61"/>
      <c r="FF75" s="61"/>
      <c r="FG75" s="61"/>
      <c r="FH75" s="61"/>
      <c r="FI75" s="61"/>
      <c r="FJ75" s="61"/>
      <c r="FK75" s="61"/>
      <c r="FL75" s="61"/>
      <c r="FM75" s="61"/>
      <c r="FN75" s="61"/>
      <c r="FO75" s="61"/>
      <c r="FP75" s="61"/>
      <c r="FQ75" s="61"/>
      <c r="FR75" s="61"/>
      <c r="FS75" s="61"/>
      <c r="FT75" s="61"/>
      <c r="FU75" s="61"/>
      <c r="FV75" s="61"/>
      <c r="FW75" s="61"/>
      <c r="FX75" s="61"/>
      <c r="FY75" s="61"/>
      <c r="FZ75" s="61"/>
      <c r="GA75" s="61"/>
      <c r="GB75" s="61"/>
      <c r="GC75" s="61"/>
      <c r="GD75" s="61"/>
      <c r="GE75" s="61"/>
      <c r="GF75" s="61"/>
      <c r="GG75" s="61"/>
      <c r="GH75" s="61"/>
      <c r="GI75" s="61"/>
      <c r="GJ75" s="61"/>
      <c r="GK75" s="61"/>
      <c r="GL75" s="61"/>
      <c r="GM75" s="61"/>
      <c r="GN75" s="61"/>
      <c r="GO75" s="61"/>
      <c r="GP75" s="61"/>
      <c r="GQ75" s="61"/>
      <c r="GR75" s="61"/>
      <c r="GS75" s="61"/>
      <c r="GT75" s="61"/>
      <c r="GU75" s="61"/>
      <c r="GV75" s="61"/>
      <c r="GW75" s="61"/>
      <c r="GX75" s="61"/>
      <c r="GY75" s="61"/>
      <c r="GZ75" s="61"/>
      <c r="HA75" s="61"/>
      <c r="HB75" s="61"/>
      <c r="HC75" s="61"/>
      <c r="HD75" s="61"/>
      <c r="HE75" s="61"/>
      <c r="HF75" s="61"/>
      <c r="HG75" s="61"/>
      <c r="HH75" s="61"/>
      <c r="HI75" s="61"/>
      <c r="HJ75" s="61"/>
      <c r="HK75" s="61"/>
      <c r="HL75" s="61"/>
      <c r="HM75" s="61"/>
      <c r="HN75" s="61"/>
      <c r="HO75" s="61"/>
      <c r="HP75" s="61"/>
      <c r="HQ75" s="61"/>
      <c r="HR75" s="61"/>
      <c r="HS75" s="61"/>
      <c r="HT75" s="61"/>
      <c r="HU75" s="61"/>
      <c r="HV75" s="61"/>
      <c r="HW75" s="61"/>
      <c r="HX75" s="61"/>
      <c r="HY75" s="61"/>
      <c r="HZ75" s="61"/>
      <c r="IA75" s="61"/>
      <c r="IB75" s="61"/>
      <c r="IC75" s="61"/>
      <c r="ID75" s="61"/>
      <c r="IE75" s="61"/>
      <c r="IF75" s="61"/>
      <c r="IG75" s="61"/>
      <c r="IH75" s="61"/>
      <c r="II75" s="61"/>
      <c r="IJ75" s="61"/>
      <c r="IK75" s="61"/>
      <c r="IL75" s="61"/>
      <c r="IM75" s="61"/>
      <c r="IN75" s="61"/>
      <c r="IO75" s="61"/>
      <c r="IP75" s="61"/>
      <c r="IQ75" s="61"/>
      <c r="IR75" s="61"/>
      <c r="IS75" s="61"/>
      <c r="IT75" s="61"/>
      <c r="IU75" s="61"/>
      <c r="IV75" s="61"/>
      <c r="IW75" s="61"/>
      <c r="IX75" s="61"/>
      <c r="IY75" s="61"/>
      <c r="IZ75" s="61"/>
    </row>
    <row r="76" spans="1:260" s="62" customFormat="1" ht="66" customHeight="1" x14ac:dyDescent="0.15">
      <c r="A76" s="112"/>
      <c r="B76" s="112"/>
      <c r="C76" s="112"/>
      <c r="D76" s="111"/>
      <c r="E76" s="168"/>
      <c r="F76" s="168"/>
      <c r="G76" s="168"/>
      <c r="H76" s="168"/>
      <c r="I76" s="168"/>
      <c r="J76" s="105"/>
      <c r="K76" s="106"/>
      <c r="L76" s="107">
        <f t="shared" si="0"/>
        <v>0</v>
      </c>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c r="DA76" s="61"/>
      <c r="DB76" s="61"/>
      <c r="DC76" s="61"/>
      <c r="DD76" s="61"/>
      <c r="DE76" s="61"/>
      <c r="DF76" s="61"/>
      <c r="DG76" s="61"/>
      <c r="DH76" s="61"/>
      <c r="DI76" s="61"/>
      <c r="DJ76" s="61"/>
      <c r="DK76" s="61"/>
      <c r="DL76" s="61"/>
      <c r="DM76" s="61"/>
      <c r="DN76" s="61"/>
      <c r="DO76" s="61"/>
      <c r="DP76" s="61"/>
      <c r="DQ76" s="61"/>
      <c r="DR76" s="61"/>
      <c r="DS76" s="61"/>
      <c r="DT76" s="61"/>
      <c r="DU76" s="61"/>
      <c r="DV76" s="61"/>
      <c r="DW76" s="61"/>
      <c r="DX76" s="61"/>
      <c r="DY76" s="61"/>
      <c r="DZ76" s="61"/>
      <c r="EA76" s="61"/>
      <c r="EB76" s="61"/>
      <c r="EC76" s="61"/>
      <c r="ED76" s="61"/>
      <c r="EE76" s="61"/>
      <c r="EF76" s="61"/>
      <c r="EG76" s="61"/>
      <c r="EH76" s="61"/>
      <c r="EI76" s="61"/>
      <c r="EJ76" s="61"/>
      <c r="EK76" s="61"/>
      <c r="EL76" s="61"/>
      <c r="EM76" s="61"/>
      <c r="EN76" s="61"/>
      <c r="EO76" s="61"/>
      <c r="EP76" s="61"/>
      <c r="EQ76" s="61"/>
      <c r="ER76" s="61"/>
      <c r="ES76" s="61"/>
      <c r="ET76" s="61"/>
      <c r="EU76" s="61"/>
      <c r="EV76" s="61"/>
      <c r="EW76" s="61"/>
      <c r="EX76" s="61"/>
      <c r="EY76" s="61"/>
      <c r="EZ76" s="61"/>
      <c r="FA76" s="61"/>
      <c r="FB76" s="61"/>
      <c r="FC76" s="61"/>
      <c r="FD76" s="61"/>
      <c r="FE76" s="61"/>
      <c r="FF76" s="61"/>
      <c r="FG76" s="61"/>
      <c r="FH76" s="61"/>
      <c r="FI76" s="61"/>
      <c r="FJ76" s="61"/>
      <c r="FK76" s="61"/>
      <c r="FL76" s="61"/>
      <c r="FM76" s="61"/>
      <c r="FN76" s="61"/>
      <c r="FO76" s="61"/>
      <c r="FP76" s="61"/>
      <c r="FQ76" s="61"/>
      <c r="FR76" s="61"/>
      <c r="FS76" s="61"/>
      <c r="FT76" s="61"/>
      <c r="FU76" s="61"/>
      <c r="FV76" s="61"/>
      <c r="FW76" s="61"/>
      <c r="FX76" s="61"/>
      <c r="FY76" s="61"/>
      <c r="FZ76" s="61"/>
      <c r="GA76" s="61"/>
      <c r="GB76" s="61"/>
      <c r="GC76" s="61"/>
      <c r="GD76" s="61"/>
      <c r="GE76" s="61"/>
      <c r="GF76" s="61"/>
      <c r="GG76" s="61"/>
      <c r="GH76" s="61"/>
      <c r="GI76" s="61"/>
      <c r="GJ76" s="61"/>
      <c r="GK76" s="61"/>
      <c r="GL76" s="61"/>
      <c r="GM76" s="61"/>
      <c r="GN76" s="61"/>
      <c r="GO76" s="61"/>
      <c r="GP76" s="61"/>
      <c r="GQ76" s="61"/>
      <c r="GR76" s="61"/>
      <c r="GS76" s="61"/>
      <c r="GT76" s="61"/>
      <c r="GU76" s="61"/>
      <c r="GV76" s="61"/>
      <c r="GW76" s="61"/>
      <c r="GX76" s="61"/>
      <c r="GY76" s="61"/>
      <c r="GZ76" s="61"/>
      <c r="HA76" s="61"/>
      <c r="HB76" s="61"/>
      <c r="HC76" s="61"/>
      <c r="HD76" s="61"/>
      <c r="HE76" s="61"/>
      <c r="HF76" s="61"/>
      <c r="HG76" s="61"/>
      <c r="HH76" s="61"/>
      <c r="HI76" s="61"/>
      <c r="HJ76" s="61"/>
      <c r="HK76" s="61"/>
      <c r="HL76" s="61"/>
      <c r="HM76" s="61"/>
      <c r="HN76" s="61"/>
      <c r="HO76" s="61"/>
      <c r="HP76" s="61"/>
      <c r="HQ76" s="61"/>
      <c r="HR76" s="61"/>
      <c r="HS76" s="61"/>
      <c r="HT76" s="61"/>
      <c r="HU76" s="61"/>
      <c r="HV76" s="61"/>
      <c r="HW76" s="61"/>
      <c r="HX76" s="61"/>
      <c r="HY76" s="61"/>
      <c r="HZ76" s="61"/>
      <c r="IA76" s="61"/>
      <c r="IB76" s="61"/>
      <c r="IC76" s="61"/>
      <c r="ID76" s="61"/>
      <c r="IE76" s="61"/>
      <c r="IF76" s="61"/>
      <c r="IG76" s="61"/>
      <c r="IH76" s="61"/>
      <c r="II76" s="61"/>
      <c r="IJ76" s="61"/>
      <c r="IK76" s="61"/>
      <c r="IL76" s="61"/>
      <c r="IM76" s="61"/>
      <c r="IN76" s="61"/>
      <c r="IO76" s="61"/>
      <c r="IP76" s="61"/>
      <c r="IQ76" s="61"/>
      <c r="IR76" s="61"/>
      <c r="IS76" s="61"/>
      <c r="IT76" s="61"/>
      <c r="IU76" s="61"/>
      <c r="IV76" s="61"/>
      <c r="IW76" s="61"/>
      <c r="IX76" s="61"/>
      <c r="IY76" s="61"/>
      <c r="IZ76" s="61"/>
    </row>
    <row r="77" spans="1:260" s="62" customFormat="1" ht="66" customHeight="1" x14ac:dyDescent="0.25">
      <c r="A77" s="113"/>
      <c r="B77" s="113"/>
      <c r="C77" s="113"/>
      <c r="D77" s="111" t="str">
        <f t="shared" ref="D77:D81" si="1">CONCATENATE(A77,B77,C77)</f>
        <v/>
      </c>
      <c r="E77" s="168"/>
      <c r="F77" s="168"/>
      <c r="G77" s="168"/>
      <c r="H77" s="168"/>
      <c r="I77" s="168"/>
      <c r="J77" s="105"/>
      <c r="K77" s="106"/>
      <c r="L77" s="107">
        <f t="shared" si="0"/>
        <v>0</v>
      </c>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c r="DA77" s="61"/>
      <c r="DB77" s="61"/>
      <c r="DC77" s="61"/>
      <c r="DD77" s="61"/>
      <c r="DE77" s="61"/>
      <c r="DF77" s="61"/>
      <c r="DG77" s="61"/>
      <c r="DH77" s="61"/>
      <c r="DI77" s="61"/>
      <c r="DJ77" s="61"/>
      <c r="DK77" s="61"/>
      <c r="DL77" s="61"/>
      <c r="DM77" s="61"/>
      <c r="DN77" s="61"/>
      <c r="DO77" s="61"/>
      <c r="DP77" s="61"/>
      <c r="DQ77" s="61"/>
      <c r="DR77" s="61"/>
      <c r="DS77" s="61"/>
      <c r="DT77" s="61"/>
      <c r="DU77" s="61"/>
      <c r="DV77" s="61"/>
      <c r="DW77" s="61"/>
      <c r="DX77" s="61"/>
      <c r="DY77" s="61"/>
      <c r="DZ77" s="61"/>
      <c r="EA77" s="61"/>
      <c r="EB77" s="61"/>
      <c r="EC77" s="61"/>
      <c r="ED77" s="61"/>
      <c r="EE77" s="61"/>
      <c r="EF77" s="61"/>
      <c r="EG77" s="61"/>
      <c r="EH77" s="61"/>
      <c r="EI77" s="61"/>
      <c r="EJ77" s="61"/>
      <c r="EK77" s="61"/>
      <c r="EL77" s="61"/>
      <c r="EM77" s="61"/>
      <c r="EN77" s="61"/>
      <c r="EO77" s="61"/>
      <c r="EP77" s="61"/>
      <c r="EQ77" s="61"/>
      <c r="ER77" s="61"/>
      <c r="ES77" s="61"/>
      <c r="ET77" s="61"/>
      <c r="EU77" s="61"/>
      <c r="EV77" s="61"/>
      <c r="EW77" s="61"/>
      <c r="EX77" s="61"/>
      <c r="EY77" s="61"/>
      <c r="EZ77" s="61"/>
      <c r="FA77" s="61"/>
      <c r="FB77" s="61"/>
      <c r="FC77" s="61"/>
      <c r="FD77" s="61"/>
      <c r="FE77" s="61"/>
      <c r="FF77" s="61"/>
      <c r="FG77" s="61"/>
      <c r="FH77" s="61"/>
      <c r="FI77" s="61"/>
      <c r="FJ77" s="61"/>
      <c r="FK77" s="61"/>
      <c r="FL77" s="61"/>
      <c r="FM77" s="61"/>
      <c r="FN77" s="61"/>
      <c r="FO77" s="61"/>
      <c r="FP77" s="61"/>
      <c r="FQ77" s="61"/>
      <c r="FR77" s="61"/>
      <c r="FS77" s="61"/>
      <c r="FT77" s="61"/>
      <c r="FU77" s="61"/>
      <c r="FV77" s="61"/>
      <c r="FW77" s="61"/>
      <c r="FX77" s="61"/>
      <c r="FY77" s="61"/>
      <c r="FZ77" s="61"/>
      <c r="GA77" s="61"/>
      <c r="GB77" s="61"/>
      <c r="GC77" s="61"/>
      <c r="GD77" s="61"/>
      <c r="GE77" s="61"/>
      <c r="GF77" s="61"/>
      <c r="GG77" s="61"/>
      <c r="GH77" s="61"/>
      <c r="GI77" s="61"/>
      <c r="GJ77" s="61"/>
      <c r="GK77" s="61"/>
      <c r="GL77" s="61"/>
      <c r="GM77" s="61"/>
      <c r="GN77" s="61"/>
      <c r="GO77" s="61"/>
      <c r="GP77" s="61"/>
      <c r="GQ77" s="61"/>
      <c r="GR77" s="61"/>
      <c r="GS77" s="61"/>
      <c r="GT77" s="61"/>
      <c r="GU77" s="61"/>
      <c r="GV77" s="61"/>
      <c r="GW77" s="61"/>
      <c r="GX77" s="61"/>
      <c r="GY77" s="61"/>
      <c r="GZ77" s="61"/>
      <c r="HA77" s="61"/>
      <c r="HB77" s="61"/>
      <c r="HC77" s="61"/>
      <c r="HD77" s="61"/>
      <c r="HE77" s="61"/>
      <c r="HF77" s="61"/>
      <c r="HG77" s="61"/>
      <c r="HH77" s="61"/>
      <c r="HI77" s="61"/>
      <c r="HJ77" s="61"/>
      <c r="HK77" s="61"/>
      <c r="HL77" s="61"/>
      <c r="HM77" s="61"/>
      <c r="HN77" s="61"/>
      <c r="HO77" s="61"/>
      <c r="HP77" s="61"/>
      <c r="HQ77" s="61"/>
      <c r="HR77" s="61"/>
      <c r="HS77" s="61"/>
      <c r="HT77" s="61"/>
      <c r="HU77" s="61"/>
      <c r="HV77" s="61"/>
      <c r="HW77" s="61"/>
      <c r="HX77" s="61"/>
      <c r="HY77" s="61"/>
      <c r="HZ77" s="61"/>
      <c r="IA77" s="61"/>
      <c r="IB77" s="61"/>
      <c r="IC77" s="61"/>
      <c r="ID77" s="61"/>
      <c r="IE77" s="61"/>
      <c r="IF77" s="61"/>
      <c r="IG77" s="61"/>
      <c r="IH77" s="61"/>
      <c r="II77" s="61"/>
      <c r="IJ77" s="61"/>
      <c r="IK77" s="61"/>
      <c r="IL77" s="61"/>
      <c r="IM77" s="61"/>
      <c r="IN77" s="61"/>
      <c r="IO77" s="61"/>
      <c r="IP77" s="61"/>
      <c r="IQ77" s="61"/>
      <c r="IR77" s="61"/>
      <c r="IS77" s="61"/>
      <c r="IT77" s="61"/>
      <c r="IU77" s="61"/>
      <c r="IV77" s="61"/>
      <c r="IW77" s="61"/>
      <c r="IX77" s="61"/>
      <c r="IY77" s="61"/>
      <c r="IZ77" s="61"/>
    </row>
    <row r="78" spans="1:260" s="62" customFormat="1" ht="66" customHeight="1" x14ac:dyDescent="0.25">
      <c r="A78" s="114"/>
      <c r="B78" s="114"/>
      <c r="C78" s="114"/>
      <c r="D78" s="111" t="str">
        <f t="shared" si="1"/>
        <v/>
      </c>
      <c r="E78" s="168"/>
      <c r="F78" s="168"/>
      <c r="G78" s="168"/>
      <c r="H78" s="168"/>
      <c r="I78" s="168"/>
      <c r="J78" s="105"/>
      <c r="K78" s="106"/>
      <c r="L78" s="107">
        <f t="shared" si="0"/>
        <v>0</v>
      </c>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c r="EA78" s="61"/>
      <c r="EB78" s="61"/>
      <c r="EC78" s="61"/>
      <c r="ED78" s="61"/>
      <c r="EE78" s="61"/>
      <c r="EF78" s="61"/>
      <c r="EG78" s="61"/>
      <c r="EH78" s="61"/>
      <c r="EI78" s="61"/>
      <c r="EJ78" s="61"/>
      <c r="EK78" s="61"/>
      <c r="EL78" s="61"/>
      <c r="EM78" s="61"/>
      <c r="EN78" s="61"/>
      <c r="EO78" s="61"/>
      <c r="EP78" s="61"/>
      <c r="EQ78" s="61"/>
      <c r="ER78" s="61"/>
      <c r="ES78" s="61"/>
      <c r="ET78" s="61"/>
      <c r="EU78" s="61"/>
      <c r="EV78" s="61"/>
      <c r="EW78" s="61"/>
      <c r="EX78" s="61"/>
      <c r="EY78" s="61"/>
      <c r="EZ78" s="61"/>
      <c r="FA78" s="61"/>
      <c r="FB78" s="61"/>
      <c r="FC78" s="61"/>
      <c r="FD78" s="61"/>
      <c r="FE78" s="61"/>
      <c r="FF78" s="61"/>
      <c r="FG78" s="61"/>
      <c r="FH78" s="61"/>
      <c r="FI78" s="61"/>
      <c r="FJ78" s="61"/>
      <c r="FK78" s="61"/>
      <c r="FL78" s="61"/>
      <c r="FM78" s="61"/>
      <c r="FN78" s="61"/>
      <c r="FO78" s="61"/>
      <c r="FP78" s="61"/>
      <c r="FQ78" s="61"/>
      <c r="FR78" s="61"/>
      <c r="FS78" s="61"/>
      <c r="FT78" s="61"/>
      <c r="FU78" s="61"/>
      <c r="FV78" s="61"/>
      <c r="FW78" s="61"/>
      <c r="FX78" s="61"/>
      <c r="FY78" s="61"/>
      <c r="FZ78" s="61"/>
      <c r="GA78" s="61"/>
      <c r="GB78" s="61"/>
      <c r="GC78" s="61"/>
      <c r="GD78" s="61"/>
      <c r="GE78" s="61"/>
      <c r="GF78" s="61"/>
      <c r="GG78" s="61"/>
      <c r="GH78" s="61"/>
      <c r="GI78" s="61"/>
      <c r="GJ78" s="61"/>
      <c r="GK78" s="61"/>
      <c r="GL78" s="61"/>
      <c r="GM78" s="61"/>
      <c r="GN78" s="61"/>
      <c r="GO78" s="61"/>
      <c r="GP78" s="61"/>
      <c r="GQ78" s="61"/>
      <c r="GR78" s="61"/>
      <c r="GS78" s="61"/>
      <c r="GT78" s="61"/>
      <c r="GU78" s="61"/>
      <c r="GV78" s="61"/>
      <c r="GW78" s="61"/>
      <c r="GX78" s="61"/>
      <c r="GY78" s="61"/>
      <c r="GZ78" s="61"/>
      <c r="HA78" s="61"/>
      <c r="HB78" s="61"/>
      <c r="HC78" s="61"/>
      <c r="HD78" s="61"/>
      <c r="HE78" s="61"/>
      <c r="HF78" s="61"/>
      <c r="HG78" s="61"/>
      <c r="HH78" s="61"/>
      <c r="HI78" s="61"/>
      <c r="HJ78" s="61"/>
      <c r="HK78" s="61"/>
      <c r="HL78" s="61"/>
      <c r="HM78" s="61"/>
      <c r="HN78" s="61"/>
      <c r="HO78" s="61"/>
      <c r="HP78" s="61"/>
      <c r="HQ78" s="61"/>
      <c r="HR78" s="61"/>
      <c r="HS78" s="61"/>
      <c r="HT78" s="61"/>
      <c r="HU78" s="61"/>
      <c r="HV78" s="61"/>
      <c r="HW78" s="61"/>
      <c r="HX78" s="61"/>
      <c r="HY78" s="61"/>
      <c r="HZ78" s="61"/>
      <c r="IA78" s="61"/>
      <c r="IB78" s="61"/>
      <c r="IC78" s="61"/>
      <c r="ID78" s="61"/>
      <c r="IE78" s="61"/>
      <c r="IF78" s="61"/>
      <c r="IG78" s="61"/>
      <c r="IH78" s="61"/>
      <c r="II78" s="61"/>
      <c r="IJ78" s="61"/>
      <c r="IK78" s="61"/>
      <c r="IL78" s="61"/>
      <c r="IM78" s="61"/>
      <c r="IN78" s="61"/>
      <c r="IO78" s="61"/>
      <c r="IP78" s="61"/>
      <c r="IQ78" s="61"/>
      <c r="IR78" s="61"/>
      <c r="IS78" s="61"/>
      <c r="IT78" s="61"/>
      <c r="IU78" s="61"/>
      <c r="IV78" s="61"/>
      <c r="IW78" s="61"/>
      <c r="IX78" s="61"/>
      <c r="IY78" s="61"/>
      <c r="IZ78" s="61"/>
    </row>
    <row r="79" spans="1:260" s="62" customFormat="1" ht="66" customHeight="1" x14ac:dyDescent="0.25">
      <c r="A79" s="114"/>
      <c r="B79" s="114"/>
      <c r="C79" s="114"/>
      <c r="D79" s="111" t="str">
        <f t="shared" si="1"/>
        <v/>
      </c>
      <c r="E79" s="168"/>
      <c r="F79" s="168"/>
      <c r="G79" s="168"/>
      <c r="H79" s="168"/>
      <c r="I79" s="168"/>
      <c r="J79" s="105"/>
      <c r="K79" s="106"/>
      <c r="L79" s="107">
        <f t="shared" si="0"/>
        <v>0</v>
      </c>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c r="DG79" s="61"/>
      <c r="DH79" s="61"/>
      <c r="DI79" s="61"/>
      <c r="DJ79" s="61"/>
      <c r="DK79" s="61"/>
      <c r="DL79" s="61"/>
      <c r="DM79" s="61"/>
      <c r="DN79" s="61"/>
      <c r="DO79" s="61"/>
      <c r="DP79" s="61"/>
      <c r="DQ79" s="61"/>
      <c r="DR79" s="61"/>
      <c r="DS79" s="61"/>
      <c r="DT79" s="61"/>
      <c r="DU79" s="61"/>
      <c r="DV79" s="61"/>
      <c r="DW79" s="61"/>
      <c r="DX79" s="61"/>
      <c r="DY79" s="61"/>
      <c r="DZ79" s="61"/>
      <c r="EA79" s="61"/>
      <c r="EB79" s="61"/>
      <c r="EC79" s="61"/>
      <c r="ED79" s="61"/>
      <c r="EE79" s="61"/>
      <c r="EF79" s="61"/>
      <c r="EG79" s="61"/>
      <c r="EH79" s="61"/>
      <c r="EI79" s="61"/>
      <c r="EJ79" s="61"/>
      <c r="EK79" s="61"/>
      <c r="EL79" s="61"/>
      <c r="EM79" s="61"/>
      <c r="EN79" s="61"/>
      <c r="EO79" s="61"/>
      <c r="EP79" s="61"/>
      <c r="EQ79" s="61"/>
      <c r="ER79" s="61"/>
      <c r="ES79" s="61"/>
      <c r="ET79" s="61"/>
      <c r="EU79" s="61"/>
      <c r="EV79" s="61"/>
      <c r="EW79" s="61"/>
      <c r="EX79" s="61"/>
      <c r="EY79" s="61"/>
      <c r="EZ79" s="61"/>
      <c r="FA79" s="61"/>
      <c r="FB79" s="61"/>
      <c r="FC79" s="61"/>
      <c r="FD79" s="61"/>
      <c r="FE79" s="61"/>
      <c r="FF79" s="61"/>
      <c r="FG79" s="61"/>
      <c r="FH79" s="61"/>
      <c r="FI79" s="61"/>
      <c r="FJ79" s="61"/>
      <c r="FK79" s="61"/>
      <c r="FL79" s="61"/>
      <c r="FM79" s="61"/>
      <c r="FN79" s="61"/>
      <c r="FO79" s="61"/>
      <c r="FP79" s="61"/>
      <c r="FQ79" s="61"/>
      <c r="FR79" s="61"/>
      <c r="FS79" s="61"/>
      <c r="FT79" s="61"/>
      <c r="FU79" s="61"/>
      <c r="FV79" s="61"/>
      <c r="FW79" s="61"/>
      <c r="FX79" s="61"/>
      <c r="FY79" s="61"/>
      <c r="FZ79" s="61"/>
      <c r="GA79" s="61"/>
      <c r="GB79" s="61"/>
      <c r="GC79" s="61"/>
      <c r="GD79" s="61"/>
      <c r="GE79" s="61"/>
      <c r="GF79" s="61"/>
      <c r="GG79" s="61"/>
      <c r="GH79" s="61"/>
      <c r="GI79" s="61"/>
      <c r="GJ79" s="61"/>
      <c r="GK79" s="61"/>
      <c r="GL79" s="61"/>
      <c r="GM79" s="61"/>
      <c r="GN79" s="61"/>
      <c r="GO79" s="61"/>
      <c r="GP79" s="61"/>
      <c r="GQ79" s="61"/>
      <c r="GR79" s="61"/>
      <c r="GS79" s="61"/>
      <c r="GT79" s="61"/>
      <c r="GU79" s="61"/>
      <c r="GV79" s="61"/>
      <c r="GW79" s="61"/>
      <c r="GX79" s="61"/>
      <c r="GY79" s="61"/>
      <c r="GZ79" s="61"/>
      <c r="HA79" s="61"/>
      <c r="HB79" s="61"/>
      <c r="HC79" s="61"/>
      <c r="HD79" s="61"/>
      <c r="HE79" s="61"/>
      <c r="HF79" s="61"/>
      <c r="HG79" s="61"/>
      <c r="HH79" s="61"/>
      <c r="HI79" s="61"/>
      <c r="HJ79" s="61"/>
      <c r="HK79" s="61"/>
      <c r="HL79" s="61"/>
      <c r="HM79" s="61"/>
      <c r="HN79" s="61"/>
      <c r="HO79" s="61"/>
      <c r="HP79" s="61"/>
      <c r="HQ79" s="61"/>
      <c r="HR79" s="61"/>
      <c r="HS79" s="61"/>
      <c r="HT79" s="61"/>
      <c r="HU79" s="61"/>
      <c r="HV79" s="61"/>
      <c r="HW79" s="61"/>
      <c r="HX79" s="61"/>
      <c r="HY79" s="61"/>
      <c r="HZ79" s="61"/>
      <c r="IA79" s="61"/>
      <c r="IB79" s="61"/>
      <c r="IC79" s="61"/>
      <c r="ID79" s="61"/>
      <c r="IE79" s="61"/>
      <c r="IF79" s="61"/>
      <c r="IG79" s="61"/>
      <c r="IH79" s="61"/>
      <c r="II79" s="61"/>
      <c r="IJ79" s="61"/>
      <c r="IK79" s="61"/>
      <c r="IL79" s="61"/>
      <c r="IM79" s="61"/>
      <c r="IN79" s="61"/>
      <c r="IO79" s="61"/>
      <c r="IP79" s="61"/>
      <c r="IQ79" s="61"/>
      <c r="IR79" s="61"/>
      <c r="IS79" s="61"/>
      <c r="IT79" s="61"/>
      <c r="IU79" s="61"/>
      <c r="IV79" s="61"/>
      <c r="IW79" s="61"/>
      <c r="IX79" s="61"/>
      <c r="IY79" s="61"/>
      <c r="IZ79" s="61"/>
    </row>
    <row r="80" spans="1:260" s="62" customFormat="1" ht="66" customHeight="1" x14ac:dyDescent="0.25">
      <c r="A80" s="114"/>
      <c r="B80" s="114"/>
      <c r="C80" s="114"/>
      <c r="D80" s="111" t="str">
        <f t="shared" si="1"/>
        <v/>
      </c>
      <c r="E80" s="168"/>
      <c r="F80" s="168"/>
      <c r="G80" s="168"/>
      <c r="H80" s="168"/>
      <c r="I80" s="168"/>
      <c r="J80" s="105"/>
      <c r="K80" s="106"/>
      <c r="L80" s="107">
        <f t="shared" si="0"/>
        <v>0</v>
      </c>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61"/>
      <c r="DR80" s="61"/>
      <c r="DS80" s="61"/>
      <c r="DT80" s="61"/>
      <c r="DU80" s="61"/>
      <c r="DV80" s="61"/>
      <c r="DW80" s="61"/>
      <c r="DX80" s="61"/>
      <c r="DY80" s="61"/>
      <c r="DZ80" s="61"/>
      <c r="EA80" s="61"/>
      <c r="EB80" s="61"/>
      <c r="EC80" s="61"/>
      <c r="ED80" s="61"/>
      <c r="EE80" s="61"/>
      <c r="EF80" s="61"/>
      <c r="EG80" s="61"/>
      <c r="EH80" s="61"/>
      <c r="EI80" s="61"/>
      <c r="EJ80" s="61"/>
      <c r="EK80" s="61"/>
      <c r="EL80" s="61"/>
      <c r="EM80" s="61"/>
      <c r="EN80" s="61"/>
      <c r="EO80" s="61"/>
      <c r="EP80" s="61"/>
      <c r="EQ80" s="61"/>
      <c r="ER80" s="61"/>
      <c r="ES80" s="61"/>
      <c r="ET80" s="61"/>
      <c r="EU80" s="61"/>
      <c r="EV80" s="61"/>
      <c r="EW80" s="61"/>
      <c r="EX80" s="61"/>
      <c r="EY80" s="61"/>
      <c r="EZ80" s="61"/>
      <c r="FA80" s="61"/>
      <c r="FB80" s="61"/>
      <c r="FC80" s="61"/>
      <c r="FD80" s="61"/>
      <c r="FE80" s="61"/>
      <c r="FF80" s="61"/>
      <c r="FG80" s="61"/>
      <c r="FH80" s="61"/>
      <c r="FI80" s="61"/>
      <c r="FJ80" s="61"/>
      <c r="FK80" s="61"/>
      <c r="FL80" s="61"/>
      <c r="FM80" s="61"/>
      <c r="FN80" s="61"/>
      <c r="FO80" s="61"/>
      <c r="FP80" s="61"/>
      <c r="FQ80" s="61"/>
      <c r="FR80" s="61"/>
      <c r="FS80" s="61"/>
      <c r="FT80" s="61"/>
      <c r="FU80" s="61"/>
      <c r="FV80" s="61"/>
      <c r="FW80" s="61"/>
      <c r="FX80" s="61"/>
      <c r="FY80" s="61"/>
      <c r="FZ80" s="61"/>
      <c r="GA80" s="61"/>
      <c r="GB80" s="61"/>
      <c r="GC80" s="61"/>
      <c r="GD80" s="61"/>
      <c r="GE80" s="61"/>
      <c r="GF80" s="61"/>
      <c r="GG80" s="61"/>
      <c r="GH80" s="61"/>
      <c r="GI80" s="61"/>
      <c r="GJ80" s="61"/>
      <c r="GK80" s="61"/>
      <c r="GL80" s="61"/>
      <c r="GM80" s="61"/>
      <c r="GN80" s="61"/>
      <c r="GO80" s="61"/>
      <c r="GP80" s="61"/>
      <c r="GQ80" s="61"/>
      <c r="GR80" s="61"/>
      <c r="GS80" s="61"/>
      <c r="GT80" s="61"/>
      <c r="GU80" s="61"/>
      <c r="GV80" s="61"/>
      <c r="GW80" s="61"/>
      <c r="GX80" s="61"/>
      <c r="GY80" s="61"/>
      <c r="GZ80" s="61"/>
      <c r="HA80" s="61"/>
      <c r="HB80" s="61"/>
      <c r="HC80" s="61"/>
      <c r="HD80" s="61"/>
      <c r="HE80" s="61"/>
      <c r="HF80" s="61"/>
      <c r="HG80" s="61"/>
      <c r="HH80" s="61"/>
      <c r="HI80" s="61"/>
      <c r="HJ80" s="61"/>
      <c r="HK80" s="61"/>
      <c r="HL80" s="61"/>
      <c r="HM80" s="61"/>
      <c r="HN80" s="61"/>
      <c r="HO80" s="61"/>
      <c r="HP80" s="61"/>
      <c r="HQ80" s="61"/>
      <c r="HR80" s="61"/>
      <c r="HS80" s="61"/>
      <c r="HT80" s="61"/>
      <c r="HU80" s="61"/>
      <c r="HV80" s="61"/>
      <c r="HW80" s="61"/>
      <c r="HX80" s="61"/>
      <c r="HY80" s="61"/>
      <c r="HZ80" s="61"/>
      <c r="IA80" s="61"/>
      <c r="IB80" s="61"/>
      <c r="IC80" s="61"/>
      <c r="ID80" s="61"/>
      <c r="IE80" s="61"/>
      <c r="IF80" s="61"/>
      <c r="IG80" s="61"/>
      <c r="IH80" s="61"/>
      <c r="II80" s="61"/>
      <c r="IJ80" s="61"/>
      <c r="IK80" s="61"/>
      <c r="IL80" s="61"/>
      <c r="IM80" s="61"/>
      <c r="IN80" s="61"/>
      <c r="IO80" s="61"/>
      <c r="IP80" s="61"/>
      <c r="IQ80" s="61"/>
      <c r="IR80" s="61"/>
      <c r="IS80" s="61"/>
      <c r="IT80" s="61"/>
      <c r="IU80" s="61"/>
      <c r="IV80" s="61"/>
      <c r="IW80" s="61"/>
      <c r="IX80" s="61"/>
      <c r="IY80" s="61"/>
      <c r="IZ80" s="61"/>
    </row>
    <row r="81" spans="1:260" s="62" customFormat="1" ht="66" customHeight="1" x14ac:dyDescent="0.25">
      <c r="A81" s="114"/>
      <c r="B81" s="114"/>
      <c r="C81" s="114"/>
      <c r="D81" s="111" t="str">
        <f t="shared" si="1"/>
        <v/>
      </c>
      <c r="E81" s="168"/>
      <c r="F81" s="168"/>
      <c r="G81" s="168"/>
      <c r="H81" s="168"/>
      <c r="I81" s="168"/>
      <c r="J81" s="105"/>
      <c r="K81" s="106"/>
      <c r="L81" s="107">
        <f t="shared" si="0"/>
        <v>0</v>
      </c>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61"/>
      <c r="DE81" s="61"/>
      <c r="DF81" s="61"/>
      <c r="DG81" s="61"/>
      <c r="DH81" s="61"/>
      <c r="DI81" s="61"/>
      <c r="DJ81" s="61"/>
      <c r="DK81" s="61"/>
      <c r="DL81" s="61"/>
      <c r="DM81" s="61"/>
      <c r="DN81" s="61"/>
      <c r="DO81" s="61"/>
      <c r="DP81" s="61"/>
      <c r="DQ81" s="61"/>
      <c r="DR81" s="61"/>
      <c r="DS81" s="61"/>
      <c r="DT81" s="61"/>
      <c r="DU81" s="61"/>
      <c r="DV81" s="61"/>
      <c r="DW81" s="61"/>
      <c r="DX81" s="61"/>
      <c r="DY81" s="61"/>
      <c r="DZ81" s="61"/>
      <c r="EA81" s="61"/>
      <c r="EB81" s="61"/>
      <c r="EC81" s="61"/>
      <c r="ED81" s="61"/>
      <c r="EE81" s="61"/>
      <c r="EF81" s="61"/>
      <c r="EG81" s="61"/>
      <c r="EH81" s="61"/>
      <c r="EI81" s="61"/>
      <c r="EJ81" s="61"/>
      <c r="EK81" s="61"/>
      <c r="EL81" s="61"/>
      <c r="EM81" s="61"/>
      <c r="EN81" s="61"/>
      <c r="EO81" s="61"/>
      <c r="EP81" s="61"/>
      <c r="EQ81" s="61"/>
      <c r="ER81" s="61"/>
      <c r="ES81" s="61"/>
      <c r="ET81" s="61"/>
      <c r="EU81" s="61"/>
      <c r="EV81" s="61"/>
      <c r="EW81" s="61"/>
      <c r="EX81" s="61"/>
      <c r="EY81" s="61"/>
      <c r="EZ81" s="61"/>
      <c r="FA81" s="61"/>
      <c r="FB81" s="61"/>
      <c r="FC81" s="61"/>
      <c r="FD81" s="61"/>
      <c r="FE81" s="61"/>
      <c r="FF81" s="61"/>
      <c r="FG81" s="61"/>
      <c r="FH81" s="61"/>
      <c r="FI81" s="61"/>
      <c r="FJ81" s="61"/>
      <c r="FK81" s="61"/>
      <c r="FL81" s="61"/>
      <c r="FM81" s="61"/>
      <c r="FN81" s="61"/>
      <c r="FO81" s="61"/>
      <c r="FP81" s="61"/>
      <c r="FQ81" s="61"/>
      <c r="FR81" s="61"/>
      <c r="FS81" s="61"/>
      <c r="FT81" s="61"/>
      <c r="FU81" s="61"/>
      <c r="FV81" s="61"/>
      <c r="FW81" s="61"/>
      <c r="FX81" s="61"/>
      <c r="FY81" s="61"/>
      <c r="FZ81" s="61"/>
      <c r="GA81" s="61"/>
      <c r="GB81" s="61"/>
      <c r="GC81" s="61"/>
      <c r="GD81" s="61"/>
      <c r="GE81" s="61"/>
      <c r="GF81" s="61"/>
      <c r="GG81" s="61"/>
      <c r="GH81" s="61"/>
      <c r="GI81" s="61"/>
      <c r="GJ81" s="61"/>
      <c r="GK81" s="61"/>
      <c r="GL81" s="61"/>
      <c r="GM81" s="61"/>
      <c r="GN81" s="61"/>
      <c r="GO81" s="61"/>
      <c r="GP81" s="61"/>
      <c r="GQ81" s="61"/>
      <c r="GR81" s="61"/>
      <c r="GS81" s="61"/>
      <c r="GT81" s="61"/>
      <c r="GU81" s="61"/>
      <c r="GV81" s="61"/>
      <c r="GW81" s="61"/>
      <c r="GX81" s="61"/>
      <c r="GY81" s="61"/>
      <c r="GZ81" s="61"/>
      <c r="HA81" s="61"/>
      <c r="HB81" s="61"/>
      <c r="HC81" s="61"/>
      <c r="HD81" s="61"/>
      <c r="HE81" s="61"/>
      <c r="HF81" s="61"/>
      <c r="HG81" s="61"/>
      <c r="HH81" s="61"/>
      <c r="HI81" s="61"/>
      <c r="HJ81" s="61"/>
      <c r="HK81" s="61"/>
      <c r="HL81" s="61"/>
      <c r="HM81" s="61"/>
      <c r="HN81" s="61"/>
      <c r="HO81" s="61"/>
      <c r="HP81" s="61"/>
      <c r="HQ81" s="61"/>
      <c r="HR81" s="61"/>
      <c r="HS81" s="61"/>
      <c r="HT81" s="61"/>
      <c r="HU81" s="61"/>
      <c r="HV81" s="61"/>
      <c r="HW81" s="61"/>
      <c r="HX81" s="61"/>
      <c r="HY81" s="61"/>
      <c r="HZ81" s="61"/>
      <c r="IA81" s="61"/>
      <c r="IB81" s="61"/>
      <c r="IC81" s="61"/>
      <c r="ID81" s="61"/>
      <c r="IE81" s="61"/>
      <c r="IF81" s="61"/>
      <c r="IG81" s="61"/>
      <c r="IH81" s="61"/>
      <c r="II81" s="61"/>
      <c r="IJ81" s="61"/>
      <c r="IK81" s="61"/>
      <c r="IL81" s="61"/>
      <c r="IM81" s="61"/>
      <c r="IN81" s="61"/>
      <c r="IO81" s="61"/>
      <c r="IP81" s="61"/>
      <c r="IQ81" s="61"/>
      <c r="IR81" s="61"/>
      <c r="IS81" s="61"/>
      <c r="IT81" s="61"/>
      <c r="IU81" s="61"/>
      <c r="IV81" s="61"/>
      <c r="IW81" s="61"/>
      <c r="IX81" s="61"/>
      <c r="IY81" s="61"/>
      <c r="IZ81" s="61"/>
    </row>
    <row r="82" spans="1:260" ht="41.75" customHeight="1" x14ac:dyDescent="0.25">
      <c r="A82" s="77"/>
      <c r="B82" s="77"/>
      <c r="C82" s="77"/>
      <c r="D82" s="77"/>
      <c r="E82" s="71"/>
      <c r="F82" s="71"/>
      <c r="G82" s="71"/>
      <c r="H82" s="71"/>
      <c r="I82" s="71"/>
      <c r="J82" s="102"/>
      <c r="K82" s="100" t="s">
        <v>16</v>
      </c>
      <c r="L82" s="74">
        <f>SUM(L71:L81)</f>
        <v>0</v>
      </c>
    </row>
    <row r="83" spans="1:260" ht="41.75" customHeight="1" x14ac:dyDescent="0.25">
      <c r="A83" s="70"/>
      <c r="B83" s="70"/>
      <c r="C83" s="70"/>
      <c r="D83" s="70"/>
      <c r="E83" s="71"/>
      <c r="F83" s="71"/>
      <c r="G83" s="71"/>
      <c r="H83" s="71"/>
      <c r="I83" s="71"/>
      <c r="J83" s="101" t="s">
        <v>17</v>
      </c>
      <c r="K83" s="75">
        <v>0.21</v>
      </c>
      <c r="L83" s="74">
        <f>IF(K83="","",L82*K83)</f>
        <v>0</v>
      </c>
    </row>
    <row r="84" spans="1:260" ht="41.75" customHeight="1" x14ac:dyDescent="0.25">
      <c r="A84" s="70"/>
      <c r="B84" s="70"/>
      <c r="C84" s="70"/>
      <c r="D84" s="70"/>
      <c r="E84" s="71"/>
      <c r="F84" s="71"/>
      <c r="G84" s="71"/>
      <c r="H84" s="71"/>
      <c r="I84" s="71"/>
      <c r="J84" s="76"/>
      <c r="K84" s="73" t="s">
        <v>18</v>
      </c>
      <c r="L84" s="74">
        <f>IF(L83="","",L82+L83)</f>
        <v>0</v>
      </c>
    </row>
    <row r="85" spans="1:260" ht="15" customHeight="1" x14ac:dyDescent="0.2">
      <c r="A85" s="68"/>
      <c r="B85" s="68"/>
      <c r="C85" s="68"/>
      <c r="D85" s="68"/>
      <c r="E85" s="69"/>
      <c r="F85" s="69"/>
      <c r="G85" s="69"/>
      <c r="H85" s="69"/>
      <c r="I85" s="69"/>
      <c r="J85" s="72"/>
      <c r="K85" s="72"/>
      <c r="L85" s="72"/>
    </row>
    <row r="86" spans="1:260" ht="47.25" customHeight="1" x14ac:dyDescent="0.15">
      <c r="A86" s="6"/>
      <c r="B86" s="6"/>
      <c r="C86" s="6"/>
      <c r="D86" s="6"/>
      <c r="E86" s="163" t="s">
        <v>19</v>
      </c>
      <c r="F86" s="164"/>
      <c r="G86" s="164"/>
      <c r="H86" s="164"/>
      <c r="I86" s="165"/>
      <c r="J86" s="138">
        <f>F48</f>
        <v>0</v>
      </c>
      <c r="K86" s="139"/>
      <c r="L86" s="139"/>
    </row>
  </sheetData>
  <mergeCells count="42">
    <mergeCell ref="E86:I86"/>
    <mergeCell ref="I65:L65"/>
    <mergeCell ref="I64:L64"/>
    <mergeCell ref="E54:L59"/>
    <mergeCell ref="E80:I80"/>
    <mergeCell ref="E81:I81"/>
    <mergeCell ref="E79:I79"/>
    <mergeCell ref="E73:I73"/>
    <mergeCell ref="E74:I74"/>
    <mergeCell ref="E75:I75"/>
    <mergeCell ref="E76:I76"/>
    <mergeCell ref="E77:I77"/>
    <mergeCell ref="E78:I78"/>
    <mergeCell ref="E71:I71"/>
    <mergeCell ref="E72:I72"/>
    <mergeCell ref="E30:L30"/>
    <mergeCell ref="E31:L31"/>
    <mergeCell ref="E32:L32"/>
    <mergeCell ref="E37:L37"/>
    <mergeCell ref="F47:K47"/>
    <mergeCell ref="F48:K48"/>
    <mergeCell ref="F42:K42"/>
    <mergeCell ref="F43:K43"/>
    <mergeCell ref="F44:K44"/>
    <mergeCell ref="F45:K45"/>
    <mergeCell ref="F46:K46"/>
    <mergeCell ref="A1:L1"/>
    <mergeCell ref="A70:C70"/>
    <mergeCell ref="J86:L86"/>
    <mergeCell ref="K5:L5"/>
    <mergeCell ref="K6:L6"/>
    <mergeCell ref="K8:L8"/>
    <mergeCell ref="K9:L9"/>
    <mergeCell ref="K7:L7"/>
    <mergeCell ref="E69:L69"/>
    <mergeCell ref="E25:L25"/>
    <mergeCell ref="E26:L26"/>
    <mergeCell ref="E27:L27"/>
    <mergeCell ref="E28:L28"/>
    <mergeCell ref="E29:L29"/>
    <mergeCell ref="A3:L4"/>
    <mergeCell ref="E70:I70"/>
  </mergeCells>
  <phoneticPr fontId="25" type="noConversion"/>
  <conditionalFormatting sqref="L71:L81">
    <cfRule type="cellIs" dxfId="0" priority="3" stopIfTrue="1" operator="equal">
      <formula>0</formula>
    </cfRule>
  </conditionalFormatting>
  <hyperlinks>
    <hyperlink ref="E31" r:id="rId1" display="mailto:rrogama@gmail.com" xr:uid="{F87EECBE-4DE7-44E5-A55B-83202E1FCC69}"/>
  </hyperlinks>
  <pageMargins left="0.39370100000000002" right="0.39370100000000002" top="0.19685" bottom="0.39370100000000002" header="0.19685" footer="0.19685"/>
  <pageSetup paperSize="9" scale="76" fitToHeight="0" orientation="portrait" r:id="rId2"/>
  <colBreaks count="1" manualBreakCount="1">
    <brk id="13" max="1048575" man="1"/>
  </col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563"/>
  <sheetViews>
    <sheetView showGridLines="0" topLeftCell="A536" workbookViewId="0">
      <pane xSplit="1" topLeftCell="B1" activePane="topRight" state="frozen"/>
      <selection pane="topRight" activeCell="I544" sqref="I544"/>
    </sheetView>
  </sheetViews>
  <sheetFormatPr baseColWidth="10" defaultColWidth="16.33203125" defaultRowHeight="18" customHeight="1" x14ac:dyDescent="0.15"/>
  <cols>
    <col min="1" max="1" width="6.83203125" style="7" customWidth="1"/>
    <col min="2" max="2" width="4.6640625" style="7" customWidth="1"/>
    <col min="3" max="3" width="7.1640625" style="7" customWidth="1"/>
    <col min="4" max="4" width="16.6640625" style="7" customWidth="1"/>
    <col min="5" max="5" width="71.6640625" style="7" customWidth="1"/>
    <col min="6" max="256" width="16.33203125" style="7" customWidth="1"/>
  </cols>
  <sheetData>
    <row r="1" spans="1:8" ht="21.5" customHeight="1" x14ac:dyDescent="0.15">
      <c r="A1" s="8" t="s">
        <v>21</v>
      </c>
      <c r="B1" s="9" t="s">
        <v>22</v>
      </c>
      <c r="C1" s="10" t="s">
        <v>23</v>
      </c>
      <c r="D1" s="10" t="s">
        <v>24</v>
      </c>
      <c r="E1" s="11" t="s">
        <v>25</v>
      </c>
      <c r="F1" s="11" t="s">
        <v>26</v>
      </c>
      <c r="G1" s="12"/>
      <c r="H1" s="12"/>
    </row>
    <row r="2" spans="1:8" ht="17.5" customHeight="1" x14ac:dyDescent="0.15">
      <c r="A2" s="13">
        <v>1</v>
      </c>
      <c r="B2" s="14">
        <v>1</v>
      </c>
      <c r="C2" s="15">
        <v>1</v>
      </c>
      <c r="D2" s="16" t="str">
        <f t="shared" ref="D2:D65" si="0">CONCATENATE(A2,B2,C2)</f>
        <v>111</v>
      </c>
      <c r="E2" s="17" t="s">
        <v>27</v>
      </c>
      <c r="F2" s="18">
        <v>17.66</v>
      </c>
      <c r="G2" s="19"/>
      <c r="H2" s="19"/>
    </row>
    <row r="3" spans="1:8" ht="17.5" customHeight="1" x14ac:dyDescent="0.15">
      <c r="A3" s="13">
        <v>1</v>
      </c>
      <c r="B3" s="14">
        <v>1</v>
      </c>
      <c r="C3" s="15">
        <v>2</v>
      </c>
      <c r="D3" s="16" t="str">
        <f t="shared" si="0"/>
        <v>112</v>
      </c>
      <c r="E3" s="17" t="s">
        <v>28</v>
      </c>
      <c r="F3" s="18">
        <v>17.66</v>
      </c>
      <c r="G3" s="19"/>
      <c r="H3" s="19"/>
    </row>
    <row r="4" spans="1:8" ht="17.5" customHeight="1" x14ac:dyDescent="0.15">
      <c r="A4" s="13">
        <v>1</v>
      </c>
      <c r="B4" s="14">
        <v>1</v>
      </c>
      <c r="C4" s="15">
        <v>3</v>
      </c>
      <c r="D4" s="16" t="str">
        <f t="shared" si="0"/>
        <v>113</v>
      </c>
      <c r="E4" s="17" t="s">
        <v>29</v>
      </c>
      <c r="F4" s="20">
        <v>12.5</v>
      </c>
      <c r="G4" s="19"/>
      <c r="H4" s="19"/>
    </row>
    <row r="5" spans="1:8" ht="17.5" customHeight="1" x14ac:dyDescent="0.15">
      <c r="A5" s="13">
        <v>1</v>
      </c>
      <c r="B5" s="14">
        <v>1</v>
      </c>
      <c r="C5" s="15">
        <v>4</v>
      </c>
      <c r="D5" s="16" t="str">
        <f t="shared" si="0"/>
        <v>114</v>
      </c>
      <c r="E5" s="17" t="s">
        <v>30</v>
      </c>
      <c r="F5" s="18">
        <v>29.44</v>
      </c>
      <c r="G5" s="19"/>
      <c r="H5" s="19"/>
    </row>
    <row r="6" spans="1:8" ht="17.5" customHeight="1" x14ac:dyDescent="0.15">
      <c r="A6" s="13">
        <v>1</v>
      </c>
      <c r="B6" s="14">
        <v>1</v>
      </c>
      <c r="C6" s="15">
        <v>5</v>
      </c>
      <c r="D6" s="16" t="str">
        <f t="shared" si="0"/>
        <v>115</v>
      </c>
      <c r="E6" s="17" t="s">
        <v>31</v>
      </c>
      <c r="F6" s="18">
        <v>9.51</v>
      </c>
      <c r="G6" s="19"/>
      <c r="H6" s="19"/>
    </row>
    <row r="7" spans="1:8" ht="17.5" customHeight="1" x14ac:dyDescent="0.15">
      <c r="A7" s="13">
        <v>1</v>
      </c>
      <c r="B7" s="14">
        <v>1</v>
      </c>
      <c r="C7" s="15">
        <v>6</v>
      </c>
      <c r="D7" s="16" t="str">
        <f t="shared" si="0"/>
        <v>116</v>
      </c>
      <c r="E7" s="17" t="s">
        <v>32</v>
      </c>
      <c r="F7" s="18">
        <v>9.17</v>
      </c>
      <c r="G7" s="19"/>
      <c r="H7" s="19"/>
    </row>
    <row r="8" spans="1:8" ht="17.5" customHeight="1" x14ac:dyDescent="0.15">
      <c r="A8" s="13">
        <v>1</v>
      </c>
      <c r="B8" s="14">
        <v>1</v>
      </c>
      <c r="C8" s="15">
        <v>7</v>
      </c>
      <c r="D8" s="16" t="str">
        <f t="shared" si="0"/>
        <v>117</v>
      </c>
      <c r="E8" s="17" t="s">
        <v>33</v>
      </c>
      <c r="F8" s="18">
        <v>15.29</v>
      </c>
      <c r="G8" s="19"/>
      <c r="H8" s="19"/>
    </row>
    <row r="9" spans="1:8" ht="17.5" customHeight="1" x14ac:dyDescent="0.15">
      <c r="A9" s="13">
        <v>1</v>
      </c>
      <c r="B9" s="14">
        <v>1</v>
      </c>
      <c r="C9" s="15">
        <v>8</v>
      </c>
      <c r="D9" s="16" t="str">
        <f t="shared" si="0"/>
        <v>118</v>
      </c>
      <c r="E9" s="17" t="s">
        <v>34</v>
      </c>
      <c r="F9" s="18">
        <v>67.12</v>
      </c>
      <c r="G9" s="19"/>
      <c r="H9" s="19"/>
    </row>
    <row r="10" spans="1:8" ht="17.5" customHeight="1" x14ac:dyDescent="0.15">
      <c r="A10" s="13">
        <v>1</v>
      </c>
      <c r="B10" s="14">
        <v>1</v>
      </c>
      <c r="C10" s="15">
        <v>9</v>
      </c>
      <c r="D10" s="16" t="str">
        <f t="shared" si="0"/>
        <v>119</v>
      </c>
      <c r="E10" s="17" t="s">
        <v>35</v>
      </c>
      <c r="F10" s="20">
        <v>28.3</v>
      </c>
      <c r="G10" s="19"/>
      <c r="H10" s="19"/>
    </row>
    <row r="11" spans="1:8" ht="17.5" customHeight="1" x14ac:dyDescent="0.15">
      <c r="A11" s="13">
        <v>1</v>
      </c>
      <c r="B11" s="14">
        <v>1</v>
      </c>
      <c r="C11" s="15">
        <v>10</v>
      </c>
      <c r="D11" s="16" t="str">
        <f t="shared" si="0"/>
        <v>1110</v>
      </c>
      <c r="E11" s="17" t="s">
        <v>36</v>
      </c>
      <c r="F11" s="20">
        <v>2</v>
      </c>
      <c r="G11" s="19"/>
      <c r="H11" s="19"/>
    </row>
    <row r="12" spans="1:8" ht="17.5" customHeight="1" x14ac:dyDescent="0.15">
      <c r="A12" s="13">
        <v>1</v>
      </c>
      <c r="B12" s="14">
        <v>1</v>
      </c>
      <c r="C12" s="15">
        <v>11</v>
      </c>
      <c r="D12" s="16" t="str">
        <f t="shared" si="0"/>
        <v>1111</v>
      </c>
      <c r="E12" s="17" t="s">
        <v>37</v>
      </c>
      <c r="F12" s="20">
        <v>29</v>
      </c>
      <c r="G12" s="19"/>
      <c r="H12" s="19"/>
    </row>
    <row r="13" spans="1:8" ht="17.5" customHeight="1" x14ac:dyDescent="0.15">
      <c r="A13" s="13">
        <v>1</v>
      </c>
      <c r="B13" s="14">
        <v>1</v>
      </c>
      <c r="C13" s="15">
        <v>12</v>
      </c>
      <c r="D13" s="16" t="str">
        <f t="shared" si="0"/>
        <v>1112</v>
      </c>
      <c r="E13" s="17" t="s">
        <v>38</v>
      </c>
      <c r="F13" s="18">
        <v>97.11</v>
      </c>
      <c r="G13" s="19"/>
      <c r="H13" s="19"/>
    </row>
    <row r="14" spans="1:8" ht="17.5" customHeight="1" x14ac:dyDescent="0.15">
      <c r="A14" s="13">
        <v>1</v>
      </c>
      <c r="B14" s="14">
        <v>1</v>
      </c>
      <c r="C14" s="15">
        <v>13</v>
      </c>
      <c r="D14" s="16" t="str">
        <f t="shared" si="0"/>
        <v>1113</v>
      </c>
      <c r="E14" s="17" t="s">
        <v>39</v>
      </c>
      <c r="F14" s="20">
        <v>30</v>
      </c>
      <c r="G14" s="19"/>
      <c r="H14" s="19"/>
    </row>
    <row r="15" spans="1:8" ht="28.25" customHeight="1" x14ac:dyDescent="0.15">
      <c r="A15" s="13">
        <v>1</v>
      </c>
      <c r="B15" s="14">
        <v>1</v>
      </c>
      <c r="C15" s="15">
        <v>14</v>
      </c>
      <c r="D15" s="16" t="str">
        <f t="shared" si="0"/>
        <v>1114</v>
      </c>
      <c r="E15" s="17" t="s">
        <v>40</v>
      </c>
      <c r="F15" s="18">
        <v>14.13</v>
      </c>
      <c r="G15" s="19"/>
      <c r="H15" s="19"/>
    </row>
    <row r="16" spans="1:8" ht="17.5" customHeight="1" x14ac:dyDescent="0.15">
      <c r="A16" s="13">
        <v>1</v>
      </c>
      <c r="B16" s="14">
        <v>1</v>
      </c>
      <c r="C16" s="15">
        <v>15</v>
      </c>
      <c r="D16" s="16" t="str">
        <f t="shared" si="0"/>
        <v>1115</v>
      </c>
      <c r="E16" s="17" t="s">
        <v>41</v>
      </c>
      <c r="F16" s="18">
        <v>14.13</v>
      </c>
      <c r="G16" s="19"/>
      <c r="H16" s="19"/>
    </row>
    <row r="17" spans="1:8" ht="17.5" customHeight="1" x14ac:dyDescent="0.15">
      <c r="A17" s="13">
        <v>1</v>
      </c>
      <c r="B17" s="14">
        <v>1</v>
      </c>
      <c r="C17" s="15">
        <v>16</v>
      </c>
      <c r="D17" s="16" t="str">
        <f t="shared" si="0"/>
        <v>1116</v>
      </c>
      <c r="E17" s="17" t="s">
        <v>42</v>
      </c>
      <c r="F17" s="18">
        <v>35.32</v>
      </c>
      <c r="G17" s="19"/>
      <c r="H17" s="19"/>
    </row>
    <row r="18" spans="1:8" ht="17.5" customHeight="1" x14ac:dyDescent="0.15">
      <c r="A18" s="13">
        <v>1</v>
      </c>
      <c r="B18" s="14">
        <v>1</v>
      </c>
      <c r="C18" s="15">
        <v>17</v>
      </c>
      <c r="D18" s="16" t="str">
        <f t="shared" si="0"/>
        <v>1117</v>
      </c>
      <c r="E18" s="17" t="s">
        <v>43</v>
      </c>
      <c r="F18" s="18">
        <v>105.97</v>
      </c>
      <c r="G18" s="19"/>
      <c r="H18" s="19"/>
    </row>
    <row r="19" spans="1:8" ht="17.5" customHeight="1" x14ac:dyDescent="0.15">
      <c r="A19" s="13">
        <v>1</v>
      </c>
      <c r="B19" s="14">
        <v>1</v>
      </c>
      <c r="C19" s="15">
        <v>18</v>
      </c>
      <c r="D19" s="16" t="str">
        <f t="shared" si="0"/>
        <v>1118</v>
      </c>
      <c r="E19" s="17" t="s">
        <v>44</v>
      </c>
      <c r="F19" s="18">
        <v>11.77</v>
      </c>
      <c r="G19" s="19"/>
      <c r="H19" s="19"/>
    </row>
    <row r="20" spans="1:8" ht="17.5" customHeight="1" x14ac:dyDescent="0.15">
      <c r="A20" s="13">
        <v>1</v>
      </c>
      <c r="B20" s="14">
        <v>1</v>
      </c>
      <c r="C20" s="15">
        <v>19</v>
      </c>
      <c r="D20" s="16" t="str">
        <f t="shared" si="0"/>
        <v>1119</v>
      </c>
      <c r="E20" s="17" t="s">
        <v>45</v>
      </c>
      <c r="F20" s="18">
        <v>64.760000000000005</v>
      </c>
      <c r="G20" s="19"/>
      <c r="H20" s="19"/>
    </row>
    <row r="21" spans="1:8" ht="17.5" customHeight="1" x14ac:dyDescent="0.15">
      <c r="A21" s="13">
        <v>1</v>
      </c>
      <c r="B21" s="14">
        <v>2</v>
      </c>
      <c r="C21" s="15">
        <v>1</v>
      </c>
      <c r="D21" s="16" t="str">
        <f t="shared" si="0"/>
        <v>121</v>
      </c>
      <c r="E21" s="17" t="s">
        <v>46</v>
      </c>
      <c r="F21" s="20">
        <v>73</v>
      </c>
      <c r="G21" s="19"/>
      <c r="H21" s="19"/>
    </row>
    <row r="22" spans="1:8" ht="17.5" customHeight="1" x14ac:dyDescent="0.15">
      <c r="A22" s="13">
        <v>1</v>
      </c>
      <c r="B22" s="14">
        <v>2</v>
      </c>
      <c r="C22" s="15">
        <v>2</v>
      </c>
      <c r="D22" s="16" t="str">
        <f t="shared" si="0"/>
        <v>122</v>
      </c>
      <c r="E22" s="17" t="s">
        <v>47</v>
      </c>
      <c r="F22" s="20">
        <v>25.9</v>
      </c>
      <c r="G22" s="19"/>
      <c r="H22" s="19"/>
    </row>
    <row r="23" spans="1:8" ht="17.5" customHeight="1" x14ac:dyDescent="0.15">
      <c r="A23" s="13">
        <v>1</v>
      </c>
      <c r="B23" s="14">
        <v>2</v>
      </c>
      <c r="C23" s="15">
        <v>3</v>
      </c>
      <c r="D23" s="16" t="str">
        <f t="shared" si="0"/>
        <v>123</v>
      </c>
      <c r="E23" s="17" t="s">
        <v>48</v>
      </c>
      <c r="F23" s="18">
        <v>14.13</v>
      </c>
      <c r="G23" s="19"/>
      <c r="H23" s="19"/>
    </row>
    <row r="24" spans="1:8" ht="17.5" customHeight="1" x14ac:dyDescent="0.15">
      <c r="A24" s="13">
        <v>1</v>
      </c>
      <c r="B24" s="14">
        <v>2</v>
      </c>
      <c r="C24" s="15">
        <v>4</v>
      </c>
      <c r="D24" s="16" t="str">
        <f t="shared" si="0"/>
        <v>124</v>
      </c>
      <c r="E24" s="17" t="s">
        <v>49</v>
      </c>
      <c r="F24" s="18">
        <v>9.6300000000000008</v>
      </c>
      <c r="G24" s="19"/>
      <c r="H24" s="19"/>
    </row>
    <row r="25" spans="1:8" ht="17.5" customHeight="1" x14ac:dyDescent="0.15">
      <c r="A25" s="13">
        <v>1</v>
      </c>
      <c r="B25" s="14">
        <v>2</v>
      </c>
      <c r="C25" s="15">
        <v>5</v>
      </c>
      <c r="D25" s="16" t="str">
        <f t="shared" si="0"/>
        <v>125</v>
      </c>
      <c r="E25" s="17" t="s">
        <v>50</v>
      </c>
      <c r="F25" s="18">
        <v>2.35</v>
      </c>
      <c r="G25" s="19"/>
      <c r="H25" s="19"/>
    </row>
    <row r="26" spans="1:8" ht="17.5" customHeight="1" x14ac:dyDescent="0.15">
      <c r="A26" s="13">
        <v>1</v>
      </c>
      <c r="B26" s="14">
        <v>2</v>
      </c>
      <c r="C26" s="15">
        <v>6</v>
      </c>
      <c r="D26" s="16" t="str">
        <f t="shared" si="0"/>
        <v>126</v>
      </c>
      <c r="E26" s="17" t="s">
        <v>51</v>
      </c>
      <c r="F26" s="18">
        <v>3.53</v>
      </c>
      <c r="G26" s="19"/>
      <c r="H26" s="19"/>
    </row>
    <row r="27" spans="1:8" ht="17.5" customHeight="1" x14ac:dyDescent="0.15">
      <c r="A27" s="13">
        <v>1</v>
      </c>
      <c r="B27" s="14">
        <v>2</v>
      </c>
      <c r="C27" s="15">
        <v>7</v>
      </c>
      <c r="D27" s="16" t="str">
        <f t="shared" si="0"/>
        <v>127</v>
      </c>
      <c r="E27" s="17" t="s">
        <v>52</v>
      </c>
      <c r="F27" s="18">
        <v>1.81</v>
      </c>
      <c r="G27" s="19"/>
      <c r="H27" s="19"/>
    </row>
    <row r="28" spans="1:8" ht="17.5" customHeight="1" x14ac:dyDescent="0.15">
      <c r="A28" s="13">
        <v>1</v>
      </c>
      <c r="B28" s="14">
        <v>2</v>
      </c>
      <c r="C28" s="15">
        <v>8</v>
      </c>
      <c r="D28" s="16" t="str">
        <f t="shared" si="0"/>
        <v>128</v>
      </c>
      <c r="E28" s="17" t="s">
        <v>53</v>
      </c>
      <c r="F28" s="20">
        <v>7</v>
      </c>
      <c r="G28" s="19"/>
      <c r="H28" s="19"/>
    </row>
    <row r="29" spans="1:8" ht="17.5" customHeight="1" x14ac:dyDescent="0.15">
      <c r="A29" s="13">
        <v>1</v>
      </c>
      <c r="B29" s="14">
        <v>2</v>
      </c>
      <c r="C29" s="15">
        <v>9</v>
      </c>
      <c r="D29" s="16" t="str">
        <f t="shared" si="0"/>
        <v>129</v>
      </c>
      <c r="E29" s="17" t="s">
        <v>54</v>
      </c>
      <c r="F29" s="20">
        <v>8</v>
      </c>
      <c r="G29" s="19"/>
      <c r="H29" s="19"/>
    </row>
    <row r="30" spans="1:8" ht="28.25" customHeight="1" x14ac:dyDescent="0.15">
      <c r="A30" s="13">
        <v>1</v>
      </c>
      <c r="B30" s="14">
        <v>2</v>
      </c>
      <c r="C30" s="15">
        <v>10</v>
      </c>
      <c r="D30" s="16" t="str">
        <f t="shared" si="0"/>
        <v>1210</v>
      </c>
      <c r="E30" s="17" t="s">
        <v>55</v>
      </c>
      <c r="F30" s="18">
        <v>14.13</v>
      </c>
      <c r="G30" s="19"/>
      <c r="H30" s="19"/>
    </row>
    <row r="31" spans="1:8" ht="28.25" customHeight="1" x14ac:dyDescent="0.15">
      <c r="A31" s="13">
        <v>1</v>
      </c>
      <c r="B31" s="14">
        <v>2</v>
      </c>
      <c r="C31" s="15">
        <v>11</v>
      </c>
      <c r="D31" s="16" t="str">
        <f t="shared" si="0"/>
        <v>1211</v>
      </c>
      <c r="E31" s="17" t="s">
        <v>56</v>
      </c>
      <c r="F31" s="18">
        <v>16.13</v>
      </c>
      <c r="G31" s="19"/>
      <c r="H31" s="19"/>
    </row>
    <row r="32" spans="1:8" ht="17.5" customHeight="1" x14ac:dyDescent="0.15">
      <c r="A32" s="13">
        <v>1</v>
      </c>
      <c r="B32" s="14">
        <v>2</v>
      </c>
      <c r="C32" s="15">
        <v>12</v>
      </c>
      <c r="D32" s="16" t="str">
        <f t="shared" si="0"/>
        <v>1212</v>
      </c>
      <c r="E32" s="17" t="s">
        <v>57</v>
      </c>
      <c r="F32" s="18">
        <v>14.13</v>
      </c>
      <c r="G32" s="19"/>
      <c r="H32" s="19"/>
    </row>
    <row r="33" spans="1:8" ht="17.5" customHeight="1" x14ac:dyDescent="0.15">
      <c r="A33" s="13">
        <v>1</v>
      </c>
      <c r="B33" s="14">
        <v>2</v>
      </c>
      <c r="C33" s="15">
        <v>13</v>
      </c>
      <c r="D33" s="16" t="str">
        <f t="shared" si="0"/>
        <v>1213</v>
      </c>
      <c r="E33" s="17" t="s">
        <v>58</v>
      </c>
      <c r="F33" s="18">
        <v>16.13</v>
      </c>
      <c r="G33" s="19"/>
      <c r="H33" s="19"/>
    </row>
    <row r="34" spans="1:8" ht="17.75" customHeight="1" x14ac:dyDescent="0.15">
      <c r="A34" s="21">
        <v>1</v>
      </c>
      <c r="B34" s="22">
        <v>2</v>
      </c>
      <c r="C34" s="23">
        <v>14</v>
      </c>
      <c r="D34" s="24" t="str">
        <f t="shared" si="0"/>
        <v>1214</v>
      </c>
      <c r="E34" s="25" t="s">
        <v>59</v>
      </c>
      <c r="F34" s="26">
        <v>5</v>
      </c>
      <c r="G34" s="27"/>
      <c r="H34" s="27"/>
    </row>
    <row r="35" spans="1:8" ht="18" customHeight="1" x14ac:dyDescent="0.15">
      <c r="A35" s="28">
        <v>1</v>
      </c>
      <c r="B35" s="28">
        <v>2</v>
      </c>
      <c r="C35" s="28">
        <v>15</v>
      </c>
      <c r="D35" s="29" t="str">
        <f t="shared" si="0"/>
        <v>1215</v>
      </c>
      <c r="E35" s="30" t="s">
        <v>60</v>
      </c>
      <c r="F35" s="31">
        <v>4.71</v>
      </c>
      <c r="G35" s="31"/>
      <c r="H35" s="31"/>
    </row>
    <row r="36" spans="1:8" ht="18" customHeight="1" x14ac:dyDescent="0.15">
      <c r="A36" s="28">
        <v>1</v>
      </c>
      <c r="B36" s="28">
        <v>2</v>
      </c>
      <c r="C36" s="28">
        <v>16</v>
      </c>
      <c r="D36" s="29" t="str">
        <f t="shared" si="0"/>
        <v>1216</v>
      </c>
      <c r="E36" s="30" t="s">
        <v>61</v>
      </c>
      <c r="F36" s="31">
        <v>3.53</v>
      </c>
      <c r="G36" s="31"/>
      <c r="H36" s="31"/>
    </row>
    <row r="37" spans="1:8" ht="18" customHeight="1" x14ac:dyDescent="0.15">
      <c r="A37" s="28">
        <v>1</v>
      </c>
      <c r="B37" s="28">
        <v>2</v>
      </c>
      <c r="C37" s="28">
        <v>17</v>
      </c>
      <c r="D37" s="29" t="str">
        <f t="shared" si="0"/>
        <v>1217</v>
      </c>
      <c r="E37" s="30" t="s">
        <v>62</v>
      </c>
      <c r="F37" s="31">
        <v>11.77</v>
      </c>
      <c r="G37" s="31"/>
      <c r="H37" s="31"/>
    </row>
    <row r="38" spans="1:8" ht="18" customHeight="1" x14ac:dyDescent="0.15">
      <c r="A38" s="28">
        <v>1</v>
      </c>
      <c r="B38" s="28">
        <v>2</v>
      </c>
      <c r="C38" s="28">
        <v>18</v>
      </c>
      <c r="D38" s="29" t="str">
        <f t="shared" si="0"/>
        <v>1218</v>
      </c>
      <c r="E38" s="30" t="s">
        <v>63</v>
      </c>
      <c r="F38" s="31">
        <v>16.13</v>
      </c>
      <c r="G38" s="31"/>
      <c r="H38" s="31"/>
    </row>
    <row r="39" spans="1:8" ht="18" customHeight="1" x14ac:dyDescent="0.15">
      <c r="A39" s="28">
        <v>1</v>
      </c>
      <c r="B39" s="28">
        <v>2</v>
      </c>
      <c r="C39" s="28">
        <v>19</v>
      </c>
      <c r="D39" s="29" t="str">
        <f t="shared" si="0"/>
        <v>1219</v>
      </c>
      <c r="E39" s="30" t="s">
        <v>64</v>
      </c>
      <c r="F39" s="31">
        <v>24.97</v>
      </c>
      <c r="G39" s="31"/>
      <c r="H39" s="31"/>
    </row>
    <row r="40" spans="1:8" ht="18" customHeight="1" x14ac:dyDescent="0.15">
      <c r="A40" s="28">
        <v>1</v>
      </c>
      <c r="B40" s="28">
        <v>2</v>
      </c>
      <c r="C40" s="28">
        <v>20</v>
      </c>
      <c r="D40" s="29" t="str">
        <f t="shared" si="0"/>
        <v>1220</v>
      </c>
      <c r="E40" s="30" t="s">
        <v>65</v>
      </c>
      <c r="F40" s="31">
        <v>28.26</v>
      </c>
      <c r="G40" s="31"/>
      <c r="H40" s="31"/>
    </row>
    <row r="41" spans="1:8" ht="18" customHeight="1" x14ac:dyDescent="0.15">
      <c r="A41" s="28">
        <v>1</v>
      </c>
      <c r="B41" s="28">
        <v>2</v>
      </c>
      <c r="C41" s="28">
        <v>21</v>
      </c>
      <c r="D41" s="29" t="str">
        <f t="shared" si="0"/>
        <v>1221</v>
      </c>
      <c r="E41" s="30" t="s">
        <v>66</v>
      </c>
      <c r="F41" s="31">
        <v>10.6</v>
      </c>
      <c r="G41" s="31"/>
      <c r="H41" s="31"/>
    </row>
    <row r="42" spans="1:8" ht="18" customHeight="1" x14ac:dyDescent="0.15">
      <c r="A42" s="28">
        <v>1</v>
      </c>
      <c r="B42" s="28">
        <v>2</v>
      </c>
      <c r="C42" s="28">
        <v>22</v>
      </c>
      <c r="D42" s="29" t="str">
        <f t="shared" si="0"/>
        <v>1222</v>
      </c>
      <c r="E42" s="30" t="s">
        <v>67</v>
      </c>
      <c r="F42" s="31">
        <v>7.06</v>
      </c>
      <c r="G42" s="31"/>
      <c r="H42" s="31"/>
    </row>
    <row r="43" spans="1:8" ht="18" customHeight="1" x14ac:dyDescent="0.15">
      <c r="A43" s="28">
        <v>1</v>
      </c>
      <c r="B43" s="28">
        <v>2</v>
      </c>
      <c r="C43" s="28">
        <v>23</v>
      </c>
      <c r="D43" s="29" t="str">
        <f t="shared" si="0"/>
        <v>1223</v>
      </c>
      <c r="E43" s="30" t="s">
        <v>68</v>
      </c>
      <c r="F43" s="31">
        <v>11.77</v>
      </c>
      <c r="G43" s="31"/>
      <c r="H43" s="31"/>
    </row>
    <row r="44" spans="1:8" ht="18" customHeight="1" x14ac:dyDescent="0.15">
      <c r="A44" s="28">
        <v>1</v>
      </c>
      <c r="B44" s="28">
        <v>2</v>
      </c>
      <c r="C44" s="28">
        <v>24</v>
      </c>
      <c r="D44" s="29" t="str">
        <f t="shared" si="0"/>
        <v>1224</v>
      </c>
      <c r="E44" s="30" t="s">
        <v>69</v>
      </c>
      <c r="F44" s="32">
        <v>9.42</v>
      </c>
      <c r="G44" s="32"/>
      <c r="H44" s="32"/>
    </row>
    <row r="45" spans="1:8" ht="18" customHeight="1" x14ac:dyDescent="0.15">
      <c r="A45" s="28">
        <v>1</v>
      </c>
      <c r="B45" s="28">
        <v>2</v>
      </c>
      <c r="C45" s="28">
        <v>25</v>
      </c>
      <c r="D45" s="29" t="str">
        <f t="shared" si="0"/>
        <v>1225</v>
      </c>
      <c r="E45" s="30" t="s">
        <v>70</v>
      </c>
      <c r="F45" s="31">
        <v>11.77</v>
      </c>
      <c r="G45" s="31"/>
      <c r="H45" s="31"/>
    </row>
    <row r="46" spans="1:8" ht="18" customHeight="1" x14ac:dyDescent="0.15">
      <c r="A46" s="28">
        <v>1</v>
      </c>
      <c r="B46" s="28">
        <v>2</v>
      </c>
      <c r="C46" s="28">
        <v>26</v>
      </c>
      <c r="D46" s="29" t="str">
        <f t="shared" si="0"/>
        <v>1226</v>
      </c>
      <c r="E46" s="30" t="s">
        <v>71</v>
      </c>
      <c r="F46" s="31">
        <v>14.13</v>
      </c>
      <c r="G46" s="31"/>
      <c r="H46" s="31"/>
    </row>
    <row r="47" spans="1:8" ht="18" customHeight="1" x14ac:dyDescent="0.15">
      <c r="A47" s="28">
        <v>1</v>
      </c>
      <c r="B47" s="28">
        <v>2</v>
      </c>
      <c r="C47" s="28">
        <v>27</v>
      </c>
      <c r="D47" s="29" t="str">
        <f t="shared" si="0"/>
        <v>1227</v>
      </c>
      <c r="E47" s="30" t="s">
        <v>72</v>
      </c>
      <c r="F47" s="31">
        <v>12</v>
      </c>
      <c r="G47" s="31"/>
      <c r="H47" s="31"/>
    </row>
    <row r="48" spans="1:8" ht="18" customHeight="1" x14ac:dyDescent="0.15">
      <c r="A48" s="28">
        <v>1</v>
      </c>
      <c r="B48" s="28">
        <v>2</v>
      </c>
      <c r="C48" s="28">
        <v>28</v>
      </c>
      <c r="D48" s="29" t="str">
        <f t="shared" si="0"/>
        <v>1228</v>
      </c>
      <c r="E48" s="30" t="s">
        <v>73</v>
      </c>
      <c r="F48" s="33">
        <v>0</v>
      </c>
      <c r="G48" s="33"/>
      <c r="H48" s="33"/>
    </row>
    <row r="49" spans="1:8" ht="18" customHeight="1" x14ac:dyDescent="0.15">
      <c r="A49" s="28">
        <v>1</v>
      </c>
      <c r="B49" s="28">
        <v>3</v>
      </c>
      <c r="C49" s="28">
        <v>1</v>
      </c>
      <c r="D49" s="29" t="str">
        <f t="shared" si="0"/>
        <v>131</v>
      </c>
      <c r="E49" s="30" t="s">
        <v>74</v>
      </c>
      <c r="F49" s="34">
        <v>14.02</v>
      </c>
      <c r="G49" s="35"/>
      <c r="H49" s="35"/>
    </row>
    <row r="50" spans="1:8" ht="18" customHeight="1" x14ac:dyDescent="0.15">
      <c r="A50" s="28">
        <v>1</v>
      </c>
      <c r="B50" s="28">
        <v>3</v>
      </c>
      <c r="C50" s="28">
        <v>2</v>
      </c>
      <c r="D50" s="29" t="str">
        <f t="shared" si="0"/>
        <v>132</v>
      </c>
      <c r="E50" s="30" t="s">
        <v>75</v>
      </c>
      <c r="F50" s="36">
        <v>17.66</v>
      </c>
      <c r="G50" s="37"/>
      <c r="H50" s="37"/>
    </row>
    <row r="51" spans="1:8" ht="18" customHeight="1" x14ac:dyDescent="0.15">
      <c r="A51" s="28">
        <v>1</v>
      </c>
      <c r="B51" s="28">
        <v>3</v>
      </c>
      <c r="C51" s="28">
        <v>3</v>
      </c>
      <c r="D51" s="29" t="str">
        <f t="shared" si="0"/>
        <v>133</v>
      </c>
      <c r="E51" s="30" t="s">
        <v>76</v>
      </c>
      <c r="F51" s="36">
        <v>22.37</v>
      </c>
      <c r="G51" s="37"/>
      <c r="H51" s="37"/>
    </row>
    <row r="52" spans="1:8" ht="18" customHeight="1" x14ac:dyDescent="0.15">
      <c r="A52" s="28">
        <v>1</v>
      </c>
      <c r="B52" s="28">
        <v>3</v>
      </c>
      <c r="C52" s="28">
        <v>4</v>
      </c>
      <c r="D52" s="29" t="str">
        <f t="shared" si="0"/>
        <v>134</v>
      </c>
      <c r="E52" s="30" t="s">
        <v>77</v>
      </c>
      <c r="F52" s="36">
        <v>20.45</v>
      </c>
      <c r="G52" s="37"/>
      <c r="H52" s="37"/>
    </row>
    <row r="53" spans="1:8" ht="18" customHeight="1" x14ac:dyDescent="0.15">
      <c r="A53" s="28">
        <v>1</v>
      </c>
      <c r="B53" s="28">
        <v>3</v>
      </c>
      <c r="C53" s="28">
        <v>5</v>
      </c>
      <c r="D53" s="29" t="str">
        <f t="shared" si="0"/>
        <v>135</v>
      </c>
      <c r="E53" s="30" t="s">
        <v>78</v>
      </c>
      <c r="F53" s="36">
        <v>25</v>
      </c>
      <c r="G53" s="37"/>
      <c r="H53" s="37"/>
    </row>
    <row r="54" spans="1:8" ht="18" customHeight="1" x14ac:dyDescent="0.15">
      <c r="A54" s="28">
        <v>1</v>
      </c>
      <c r="B54" s="28">
        <v>3</v>
      </c>
      <c r="C54" s="28">
        <v>6</v>
      </c>
      <c r="D54" s="29" t="str">
        <f t="shared" si="0"/>
        <v>136</v>
      </c>
      <c r="E54" s="30" t="s">
        <v>79</v>
      </c>
      <c r="F54" s="36">
        <v>43</v>
      </c>
      <c r="G54" s="37"/>
      <c r="H54" s="37"/>
    </row>
    <row r="55" spans="1:8" ht="18" customHeight="1" x14ac:dyDescent="0.15">
      <c r="A55" s="28">
        <v>1</v>
      </c>
      <c r="B55" s="28">
        <v>3</v>
      </c>
      <c r="C55" s="28">
        <v>7</v>
      </c>
      <c r="D55" s="29" t="str">
        <f t="shared" si="0"/>
        <v>137</v>
      </c>
      <c r="E55" s="30" t="s">
        <v>80</v>
      </c>
      <c r="F55" s="36">
        <v>23</v>
      </c>
      <c r="G55" s="37"/>
      <c r="H55" s="37"/>
    </row>
    <row r="56" spans="1:8" ht="18" customHeight="1" x14ac:dyDescent="0.15">
      <c r="A56" s="28">
        <v>1</v>
      </c>
      <c r="B56" s="28">
        <v>3</v>
      </c>
      <c r="C56" s="28">
        <v>8</v>
      </c>
      <c r="D56" s="29" t="str">
        <f t="shared" si="0"/>
        <v>138</v>
      </c>
      <c r="E56" s="30" t="s">
        <v>81</v>
      </c>
      <c r="F56" s="36">
        <v>43</v>
      </c>
      <c r="G56" s="37"/>
      <c r="H56" s="37"/>
    </row>
    <row r="57" spans="1:8" ht="18" customHeight="1" x14ac:dyDescent="0.15">
      <c r="A57" s="28">
        <v>1</v>
      </c>
      <c r="B57" s="28">
        <v>3</v>
      </c>
      <c r="C57" s="28">
        <v>9</v>
      </c>
      <c r="D57" s="29" t="str">
        <f t="shared" si="0"/>
        <v>139</v>
      </c>
      <c r="E57" s="30" t="s">
        <v>82</v>
      </c>
      <c r="F57" s="36">
        <v>11.48</v>
      </c>
      <c r="G57" s="37"/>
      <c r="H57" s="37"/>
    </row>
    <row r="58" spans="1:8" ht="18" customHeight="1" x14ac:dyDescent="0.15">
      <c r="A58" s="28">
        <v>1</v>
      </c>
      <c r="B58" s="28">
        <v>3</v>
      </c>
      <c r="C58" s="28">
        <v>10</v>
      </c>
      <c r="D58" s="29" t="str">
        <f t="shared" si="0"/>
        <v>1310</v>
      </c>
      <c r="E58" s="30" t="s">
        <v>83</v>
      </c>
      <c r="F58" s="36">
        <v>18.149999999999999</v>
      </c>
      <c r="G58" s="37"/>
      <c r="H58" s="37"/>
    </row>
    <row r="59" spans="1:8" ht="35" customHeight="1" x14ac:dyDescent="0.15">
      <c r="A59" s="28">
        <v>1</v>
      </c>
      <c r="B59" s="28">
        <v>3</v>
      </c>
      <c r="C59" s="28">
        <v>11</v>
      </c>
      <c r="D59" s="29" t="str">
        <f t="shared" si="0"/>
        <v>1311</v>
      </c>
      <c r="E59" s="30" t="s">
        <v>84</v>
      </c>
      <c r="F59" s="36">
        <v>15.8</v>
      </c>
      <c r="G59" s="37"/>
      <c r="H59" s="37"/>
    </row>
    <row r="60" spans="1:8" ht="17.75" customHeight="1" x14ac:dyDescent="0.15">
      <c r="A60" s="38">
        <v>1</v>
      </c>
      <c r="B60" s="39">
        <v>4</v>
      </c>
      <c r="C60" s="40">
        <v>1</v>
      </c>
      <c r="D60" s="41" t="str">
        <f t="shared" si="0"/>
        <v>141</v>
      </c>
      <c r="E60" s="42" t="s">
        <v>85</v>
      </c>
      <c r="F60" s="18">
        <v>50.63</v>
      </c>
      <c r="G60" s="19"/>
      <c r="H60" s="19"/>
    </row>
    <row r="61" spans="1:8" ht="17.5" customHeight="1" x14ac:dyDescent="0.15">
      <c r="A61" s="13">
        <v>1</v>
      </c>
      <c r="B61" s="14">
        <v>4</v>
      </c>
      <c r="C61" s="15">
        <v>2</v>
      </c>
      <c r="D61" s="16" t="str">
        <f t="shared" si="0"/>
        <v>142</v>
      </c>
      <c r="E61" s="17" t="s">
        <v>86</v>
      </c>
      <c r="F61" s="20">
        <v>110</v>
      </c>
      <c r="G61" s="19"/>
      <c r="H61" s="19"/>
    </row>
    <row r="62" spans="1:8" ht="17.5" customHeight="1" x14ac:dyDescent="0.15">
      <c r="A62" s="13">
        <v>1</v>
      </c>
      <c r="B62" s="14">
        <v>4</v>
      </c>
      <c r="C62" s="15">
        <v>3</v>
      </c>
      <c r="D62" s="16" t="str">
        <f t="shared" si="0"/>
        <v>143</v>
      </c>
      <c r="E62" s="17" t="s">
        <v>87</v>
      </c>
      <c r="F62" s="20">
        <v>190</v>
      </c>
      <c r="G62" s="19"/>
      <c r="H62" s="19"/>
    </row>
    <row r="63" spans="1:8" ht="17.5" customHeight="1" x14ac:dyDescent="0.15">
      <c r="A63" s="13">
        <v>1</v>
      </c>
      <c r="B63" s="14">
        <v>4</v>
      </c>
      <c r="C63" s="15">
        <v>4</v>
      </c>
      <c r="D63" s="16" t="str">
        <f t="shared" si="0"/>
        <v>144</v>
      </c>
      <c r="E63" s="17" t="s">
        <v>88</v>
      </c>
      <c r="F63" s="20">
        <v>55</v>
      </c>
      <c r="G63" s="19"/>
      <c r="H63" s="19"/>
    </row>
    <row r="64" spans="1:8" ht="17.5" customHeight="1" x14ac:dyDescent="0.15">
      <c r="A64" s="13">
        <v>2</v>
      </c>
      <c r="B64" s="14">
        <v>1</v>
      </c>
      <c r="C64" s="15">
        <v>1</v>
      </c>
      <c r="D64" s="16" t="str">
        <f t="shared" si="0"/>
        <v>211</v>
      </c>
      <c r="E64" s="17" t="s">
        <v>89</v>
      </c>
      <c r="F64" s="18">
        <v>45.92</v>
      </c>
      <c r="G64" s="19"/>
      <c r="H64" s="19"/>
    </row>
    <row r="65" spans="1:8" ht="17.5" customHeight="1" x14ac:dyDescent="0.15">
      <c r="A65" s="13">
        <v>2</v>
      </c>
      <c r="B65" s="14">
        <v>1</v>
      </c>
      <c r="C65" s="15">
        <v>2</v>
      </c>
      <c r="D65" s="16" t="str">
        <f t="shared" si="0"/>
        <v>212</v>
      </c>
      <c r="E65" s="17" t="s">
        <v>90</v>
      </c>
      <c r="F65" s="18">
        <v>68.290000000000006</v>
      </c>
      <c r="G65" s="19"/>
      <c r="H65" s="19"/>
    </row>
    <row r="66" spans="1:8" ht="17.5" customHeight="1" x14ac:dyDescent="0.15">
      <c r="A66" s="13">
        <v>2</v>
      </c>
      <c r="B66" s="14">
        <v>1</v>
      </c>
      <c r="C66" s="15">
        <v>3</v>
      </c>
      <c r="D66" s="16" t="str">
        <f t="shared" ref="D66:D129" si="1">CONCATENATE(A66,B66,C66)</f>
        <v>213</v>
      </c>
      <c r="E66" s="17" t="s">
        <v>91</v>
      </c>
      <c r="F66" s="20">
        <v>76</v>
      </c>
      <c r="G66" s="19"/>
      <c r="H66" s="19"/>
    </row>
    <row r="67" spans="1:8" ht="17.5" customHeight="1" x14ac:dyDescent="0.15">
      <c r="A67" s="13">
        <v>2</v>
      </c>
      <c r="B67" s="14">
        <v>1</v>
      </c>
      <c r="C67" s="15">
        <v>4</v>
      </c>
      <c r="D67" s="16" t="str">
        <f t="shared" si="1"/>
        <v>214</v>
      </c>
      <c r="E67" s="17" t="s">
        <v>92</v>
      </c>
      <c r="F67" s="20">
        <v>81</v>
      </c>
      <c r="G67" s="19"/>
      <c r="H67" s="19"/>
    </row>
    <row r="68" spans="1:8" ht="17.5" customHeight="1" x14ac:dyDescent="0.15">
      <c r="A68" s="13">
        <v>2</v>
      </c>
      <c r="B68" s="14">
        <v>1</v>
      </c>
      <c r="C68" s="15">
        <v>5</v>
      </c>
      <c r="D68" s="16" t="str">
        <f t="shared" si="1"/>
        <v>215</v>
      </c>
      <c r="E68" s="17" t="s">
        <v>93</v>
      </c>
      <c r="F68" s="20">
        <v>52.7</v>
      </c>
      <c r="G68" s="19"/>
      <c r="H68" s="19"/>
    </row>
    <row r="69" spans="1:8" ht="17.5" customHeight="1" x14ac:dyDescent="0.15">
      <c r="A69" s="13">
        <v>2</v>
      </c>
      <c r="B69" s="14">
        <v>1</v>
      </c>
      <c r="C69" s="15">
        <v>6</v>
      </c>
      <c r="D69" s="16" t="str">
        <f t="shared" si="1"/>
        <v>216</v>
      </c>
      <c r="E69" s="17" t="s">
        <v>94</v>
      </c>
      <c r="F69" s="18">
        <v>40.11</v>
      </c>
      <c r="G69" s="19"/>
      <c r="H69" s="19"/>
    </row>
    <row r="70" spans="1:8" ht="17.5" customHeight="1" x14ac:dyDescent="0.15">
      <c r="A70" s="13">
        <v>2</v>
      </c>
      <c r="B70" s="14">
        <v>2</v>
      </c>
      <c r="C70" s="15">
        <v>1</v>
      </c>
      <c r="D70" s="16" t="str">
        <f t="shared" si="1"/>
        <v>221</v>
      </c>
      <c r="E70" s="17" t="s">
        <v>95</v>
      </c>
      <c r="F70" s="18">
        <v>28.26</v>
      </c>
      <c r="G70" s="19"/>
      <c r="H70" s="19"/>
    </row>
    <row r="71" spans="1:8" ht="17.5" customHeight="1" x14ac:dyDescent="0.15">
      <c r="A71" s="13">
        <v>2</v>
      </c>
      <c r="B71" s="14">
        <v>2</v>
      </c>
      <c r="C71" s="15">
        <v>2</v>
      </c>
      <c r="D71" s="16" t="str">
        <f t="shared" si="1"/>
        <v>222</v>
      </c>
      <c r="E71" s="17" t="s">
        <v>96</v>
      </c>
      <c r="F71" s="18">
        <v>32.97</v>
      </c>
      <c r="G71" s="19"/>
      <c r="H71" s="19"/>
    </row>
    <row r="72" spans="1:8" ht="17.5" customHeight="1" x14ac:dyDescent="0.15">
      <c r="A72" s="13">
        <v>2</v>
      </c>
      <c r="B72" s="14">
        <v>2</v>
      </c>
      <c r="C72" s="15">
        <v>3</v>
      </c>
      <c r="D72" s="16" t="str">
        <f t="shared" si="1"/>
        <v>223</v>
      </c>
      <c r="E72" s="17" t="s">
        <v>97</v>
      </c>
      <c r="F72" s="18">
        <v>38.61</v>
      </c>
      <c r="G72" s="19"/>
      <c r="H72" s="19"/>
    </row>
    <row r="73" spans="1:8" ht="17.5" customHeight="1" x14ac:dyDescent="0.15">
      <c r="A73" s="13">
        <v>2</v>
      </c>
      <c r="B73" s="14">
        <v>2</v>
      </c>
      <c r="C73" s="15">
        <v>4</v>
      </c>
      <c r="D73" s="16" t="str">
        <f t="shared" si="1"/>
        <v>224</v>
      </c>
      <c r="E73" s="17" t="s">
        <v>98</v>
      </c>
      <c r="F73" s="20">
        <v>198</v>
      </c>
      <c r="G73" s="19"/>
      <c r="H73" s="19"/>
    </row>
    <row r="74" spans="1:8" ht="17.5" customHeight="1" x14ac:dyDescent="0.15">
      <c r="A74" s="13">
        <v>2</v>
      </c>
      <c r="B74" s="14">
        <v>2</v>
      </c>
      <c r="C74" s="15">
        <v>5</v>
      </c>
      <c r="D74" s="16" t="str">
        <f t="shared" si="1"/>
        <v>225</v>
      </c>
      <c r="E74" s="17" t="s">
        <v>99</v>
      </c>
      <c r="F74" s="18">
        <v>29.44</v>
      </c>
      <c r="G74" s="19"/>
      <c r="H74" s="19"/>
    </row>
    <row r="75" spans="1:8" ht="17.5" customHeight="1" x14ac:dyDescent="0.15">
      <c r="A75" s="13">
        <v>2</v>
      </c>
      <c r="B75" s="14">
        <v>2</v>
      </c>
      <c r="C75" s="15">
        <v>6</v>
      </c>
      <c r="D75" s="16" t="str">
        <f t="shared" si="1"/>
        <v>226</v>
      </c>
      <c r="E75" s="17" t="s">
        <v>100</v>
      </c>
      <c r="F75" s="20">
        <v>33</v>
      </c>
      <c r="G75" s="19"/>
      <c r="H75" s="19"/>
    </row>
    <row r="76" spans="1:8" ht="17.5" customHeight="1" x14ac:dyDescent="0.15">
      <c r="A76" s="13">
        <v>2</v>
      </c>
      <c r="B76" s="14">
        <v>2</v>
      </c>
      <c r="C76" s="15">
        <v>7</v>
      </c>
      <c r="D76" s="16" t="str">
        <f t="shared" si="1"/>
        <v>227</v>
      </c>
      <c r="E76" s="17" t="s">
        <v>101</v>
      </c>
      <c r="F76" s="20">
        <v>43</v>
      </c>
      <c r="G76" s="19"/>
      <c r="H76" s="19"/>
    </row>
    <row r="77" spans="1:8" ht="17.5" customHeight="1" x14ac:dyDescent="0.15">
      <c r="A77" s="13">
        <v>2</v>
      </c>
      <c r="B77" s="14">
        <v>2</v>
      </c>
      <c r="C77" s="15">
        <v>8</v>
      </c>
      <c r="D77" s="16" t="str">
        <f t="shared" si="1"/>
        <v>228</v>
      </c>
      <c r="E77" s="17" t="s">
        <v>102</v>
      </c>
      <c r="F77" s="20">
        <v>10</v>
      </c>
      <c r="G77" s="19"/>
      <c r="H77" s="19"/>
    </row>
    <row r="78" spans="1:8" ht="17.5" customHeight="1" x14ac:dyDescent="0.15">
      <c r="A78" s="13">
        <v>2</v>
      </c>
      <c r="B78" s="14">
        <v>2</v>
      </c>
      <c r="C78" s="15">
        <v>9</v>
      </c>
      <c r="D78" s="16" t="str">
        <f t="shared" si="1"/>
        <v>229</v>
      </c>
      <c r="E78" s="17" t="s">
        <v>103</v>
      </c>
      <c r="F78" s="20">
        <v>13.6</v>
      </c>
      <c r="G78" s="19"/>
      <c r="H78" s="19"/>
    </row>
    <row r="79" spans="1:8" ht="28.25" customHeight="1" x14ac:dyDescent="0.15">
      <c r="A79" s="13">
        <v>2</v>
      </c>
      <c r="B79" s="14">
        <v>2</v>
      </c>
      <c r="C79" s="15">
        <v>10</v>
      </c>
      <c r="D79" s="16" t="str">
        <f t="shared" si="1"/>
        <v>2210</v>
      </c>
      <c r="E79" s="17" t="s">
        <v>104</v>
      </c>
      <c r="F79" s="20">
        <v>13.6</v>
      </c>
      <c r="G79" s="19"/>
      <c r="H79" s="19"/>
    </row>
    <row r="80" spans="1:8" ht="42.5" customHeight="1" x14ac:dyDescent="0.15">
      <c r="A80" s="13">
        <v>2</v>
      </c>
      <c r="B80" s="14">
        <v>2</v>
      </c>
      <c r="C80" s="15">
        <v>11</v>
      </c>
      <c r="D80" s="16" t="str">
        <f t="shared" si="1"/>
        <v>2211</v>
      </c>
      <c r="E80" s="17" t="s">
        <v>105</v>
      </c>
      <c r="F80" s="20">
        <v>24</v>
      </c>
      <c r="G80" s="19"/>
      <c r="H80" s="19"/>
    </row>
    <row r="81" spans="1:8" ht="28.25" customHeight="1" x14ac:dyDescent="0.15">
      <c r="A81" s="13">
        <v>2</v>
      </c>
      <c r="B81" s="14">
        <v>2</v>
      </c>
      <c r="C81" s="15">
        <v>12</v>
      </c>
      <c r="D81" s="16" t="str">
        <f t="shared" si="1"/>
        <v>2212</v>
      </c>
      <c r="E81" s="17" t="s">
        <v>106</v>
      </c>
      <c r="F81" s="20">
        <v>30</v>
      </c>
      <c r="G81" s="19"/>
      <c r="H81" s="19"/>
    </row>
    <row r="82" spans="1:8" ht="42.5" customHeight="1" x14ac:dyDescent="0.15">
      <c r="A82" s="13">
        <v>2</v>
      </c>
      <c r="B82" s="14">
        <v>2</v>
      </c>
      <c r="C82" s="15">
        <v>13</v>
      </c>
      <c r="D82" s="16" t="str">
        <f t="shared" si="1"/>
        <v>2213</v>
      </c>
      <c r="E82" s="17" t="s">
        <v>107</v>
      </c>
      <c r="F82" s="20">
        <v>25</v>
      </c>
      <c r="G82" s="19"/>
      <c r="H82" s="19"/>
    </row>
    <row r="83" spans="1:8" ht="28.25" customHeight="1" x14ac:dyDescent="0.15">
      <c r="A83" s="13">
        <v>2</v>
      </c>
      <c r="B83" s="14">
        <v>2</v>
      </c>
      <c r="C83" s="15">
        <v>14</v>
      </c>
      <c r="D83" s="16" t="str">
        <f t="shared" si="1"/>
        <v>2214</v>
      </c>
      <c r="E83" s="17" t="s">
        <v>108</v>
      </c>
      <c r="F83" s="20">
        <v>25</v>
      </c>
      <c r="G83" s="19"/>
      <c r="H83" s="19"/>
    </row>
    <row r="84" spans="1:8" ht="17.5" customHeight="1" x14ac:dyDescent="0.15">
      <c r="A84" s="13">
        <v>2</v>
      </c>
      <c r="B84" s="14">
        <v>2</v>
      </c>
      <c r="C84" s="15">
        <v>15</v>
      </c>
      <c r="D84" s="16" t="str">
        <f t="shared" si="1"/>
        <v>2215</v>
      </c>
      <c r="E84" s="17" t="s">
        <v>109</v>
      </c>
      <c r="F84" s="20">
        <v>6.5</v>
      </c>
      <c r="G84" s="19"/>
      <c r="H84" s="19"/>
    </row>
    <row r="85" spans="1:8" ht="17.5" customHeight="1" x14ac:dyDescent="0.15">
      <c r="A85" s="13">
        <v>2</v>
      </c>
      <c r="B85" s="14">
        <v>3</v>
      </c>
      <c r="C85" s="15">
        <v>1</v>
      </c>
      <c r="D85" s="16" t="str">
        <f t="shared" si="1"/>
        <v>231</v>
      </c>
      <c r="E85" s="17" t="s">
        <v>110</v>
      </c>
      <c r="F85" s="18">
        <v>17.66</v>
      </c>
      <c r="G85" s="19"/>
      <c r="H85" s="19"/>
    </row>
    <row r="86" spans="1:8" ht="17.5" customHeight="1" x14ac:dyDescent="0.15">
      <c r="A86" s="13">
        <v>2</v>
      </c>
      <c r="B86" s="14">
        <v>3</v>
      </c>
      <c r="C86" s="15">
        <v>2</v>
      </c>
      <c r="D86" s="16" t="str">
        <f t="shared" si="1"/>
        <v>232</v>
      </c>
      <c r="E86" s="17" t="s">
        <v>111</v>
      </c>
      <c r="F86" s="18">
        <v>23.55</v>
      </c>
      <c r="G86" s="19"/>
      <c r="H86" s="19"/>
    </row>
    <row r="87" spans="1:8" ht="17.5" customHeight="1" x14ac:dyDescent="0.15">
      <c r="A87" s="13">
        <v>2</v>
      </c>
      <c r="B87" s="14">
        <v>3</v>
      </c>
      <c r="C87" s="15">
        <v>3</v>
      </c>
      <c r="D87" s="16" t="str">
        <f t="shared" si="1"/>
        <v>233</v>
      </c>
      <c r="E87" s="17" t="s">
        <v>112</v>
      </c>
      <c r="F87" s="20">
        <v>10.6</v>
      </c>
      <c r="G87" s="19"/>
      <c r="H87" s="19"/>
    </row>
    <row r="88" spans="1:8" ht="17.5" customHeight="1" x14ac:dyDescent="0.15">
      <c r="A88" s="13">
        <v>2</v>
      </c>
      <c r="B88" s="14">
        <v>3</v>
      </c>
      <c r="C88" s="15">
        <v>4</v>
      </c>
      <c r="D88" s="16" t="str">
        <f t="shared" si="1"/>
        <v>234</v>
      </c>
      <c r="E88" s="17" t="s">
        <v>113</v>
      </c>
      <c r="F88" s="18">
        <v>14.13</v>
      </c>
      <c r="G88" s="19"/>
      <c r="H88" s="19"/>
    </row>
    <row r="89" spans="1:8" ht="17.5" customHeight="1" x14ac:dyDescent="0.15">
      <c r="A89" s="13">
        <v>2</v>
      </c>
      <c r="B89" s="14">
        <v>3</v>
      </c>
      <c r="C89" s="15">
        <v>5</v>
      </c>
      <c r="D89" s="16" t="str">
        <f t="shared" si="1"/>
        <v>235</v>
      </c>
      <c r="E89" s="17" t="s">
        <v>114</v>
      </c>
      <c r="F89" s="18">
        <v>7.06</v>
      </c>
      <c r="G89" s="19"/>
      <c r="H89" s="19"/>
    </row>
    <row r="90" spans="1:8" ht="17.5" customHeight="1" x14ac:dyDescent="0.15">
      <c r="A90" s="13">
        <v>2</v>
      </c>
      <c r="B90" s="14">
        <v>3</v>
      </c>
      <c r="C90" s="15">
        <v>6</v>
      </c>
      <c r="D90" s="16" t="str">
        <f t="shared" si="1"/>
        <v>236</v>
      </c>
      <c r="E90" s="17" t="s">
        <v>115</v>
      </c>
      <c r="F90" s="18">
        <v>17.66</v>
      </c>
      <c r="G90" s="19"/>
      <c r="H90" s="19"/>
    </row>
    <row r="91" spans="1:8" ht="17.5" customHeight="1" x14ac:dyDescent="0.15">
      <c r="A91" s="13">
        <v>2</v>
      </c>
      <c r="B91" s="14">
        <v>3</v>
      </c>
      <c r="C91" s="15">
        <v>7</v>
      </c>
      <c r="D91" s="16" t="str">
        <f t="shared" si="1"/>
        <v>237</v>
      </c>
      <c r="E91" s="17" t="s">
        <v>116</v>
      </c>
      <c r="F91" s="18">
        <v>21.19</v>
      </c>
      <c r="G91" s="19"/>
      <c r="H91" s="19"/>
    </row>
    <row r="92" spans="1:8" ht="17.5" customHeight="1" x14ac:dyDescent="0.15">
      <c r="A92" s="13">
        <v>2</v>
      </c>
      <c r="B92" s="14">
        <v>3</v>
      </c>
      <c r="C92" s="15">
        <v>8</v>
      </c>
      <c r="D92" s="16" t="str">
        <f t="shared" si="1"/>
        <v>238</v>
      </c>
      <c r="E92" s="17" t="s">
        <v>117</v>
      </c>
      <c r="F92" s="18">
        <v>24.82</v>
      </c>
      <c r="G92" s="19"/>
      <c r="H92" s="19"/>
    </row>
    <row r="93" spans="1:8" ht="17.5" customHeight="1" x14ac:dyDescent="0.15">
      <c r="A93" s="13">
        <v>2</v>
      </c>
      <c r="B93" s="14">
        <v>3</v>
      </c>
      <c r="C93" s="15">
        <v>9</v>
      </c>
      <c r="D93" s="16" t="str">
        <f t="shared" si="1"/>
        <v>239</v>
      </c>
      <c r="E93" s="17" t="s">
        <v>118</v>
      </c>
      <c r="F93" s="20">
        <v>20</v>
      </c>
      <c r="G93" s="19"/>
      <c r="H93" s="19"/>
    </row>
    <row r="94" spans="1:8" ht="17.5" customHeight="1" x14ac:dyDescent="0.15">
      <c r="A94" s="13">
        <v>2</v>
      </c>
      <c r="B94" s="14">
        <v>3</v>
      </c>
      <c r="C94" s="15">
        <v>10</v>
      </c>
      <c r="D94" s="16" t="str">
        <f t="shared" si="1"/>
        <v>2310</v>
      </c>
      <c r="E94" s="17" t="s">
        <v>119</v>
      </c>
      <c r="F94" s="18">
        <v>17.66</v>
      </c>
      <c r="G94" s="19"/>
      <c r="H94" s="19"/>
    </row>
    <row r="95" spans="1:8" ht="17.5" customHeight="1" x14ac:dyDescent="0.15">
      <c r="A95" s="13">
        <v>2</v>
      </c>
      <c r="B95" s="14">
        <v>3</v>
      </c>
      <c r="C95" s="15">
        <v>11</v>
      </c>
      <c r="D95" s="16" t="str">
        <f t="shared" si="1"/>
        <v>2311</v>
      </c>
      <c r="E95" s="17" t="s">
        <v>120</v>
      </c>
      <c r="F95" s="18">
        <v>36.68</v>
      </c>
      <c r="G95" s="19"/>
      <c r="H95" s="19"/>
    </row>
    <row r="96" spans="1:8" ht="28.25" customHeight="1" x14ac:dyDescent="0.15">
      <c r="A96" s="13">
        <v>2</v>
      </c>
      <c r="B96" s="14">
        <v>3</v>
      </c>
      <c r="C96" s="15">
        <v>12</v>
      </c>
      <c r="D96" s="16" t="str">
        <f t="shared" si="1"/>
        <v>2312</v>
      </c>
      <c r="E96" s="17" t="s">
        <v>121</v>
      </c>
      <c r="F96" s="18">
        <v>8.2899999999999991</v>
      </c>
      <c r="G96" s="19"/>
      <c r="H96" s="19"/>
    </row>
    <row r="97" spans="1:8" ht="42.5" customHeight="1" x14ac:dyDescent="0.15">
      <c r="A97" s="13">
        <v>2</v>
      </c>
      <c r="B97" s="14">
        <v>3</v>
      </c>
      <c r="C97" s="15">
        <v>13</v>
      </c>
      <c r="D97" s="16" t="str">
        <f t="shared" si="1"/>
        <v>2313</v>
      </c>
      <c r="E97" s="17" t="s">
        <v>122</v>
      </c>
      <c r="F97" s="20">
        <v>37.9</v>
      </c>
      <c r="G97" s="19"/>
      <c r="H97" s="19"/>
    </row>
    <row r="98" spans="1:8" ht="42.5" customHeight="1" x14ac:dyDescent="0.15">
      <c r="A98" s="13">
        <v>2</v>
      </c>
      <c r="B98" s="14">
        <v>3</v>
      </c>
      <c r="C98" s="15">
        <v>14</v>
      </c>
      <c r="D98" s="16" t="str">
        <f t="shared" si="1"/>
        <v>2314</v>
      </c>
      <c r="E98" s="17" t="s">
        <v>123</v>
      </c>
      <c r="F98" s="18">
        <v>32.96</v>
      </c>
      <c r="G98" s="19"/>
      <c r="H98" s="19"/>
    </row>
    <row r="99" spans="1:8" ht="51.5" customHeight="1" x14ac:dyDescent="0.15">
      <c r="A99" s="13">
        <v>2</v>
      </c>
      <c r="B99" s="14">
        <v>4</v>
      </c>
      <c r="C99" s="15">
        <v>1</v>
      </c>
      <c r="D99" s="16" t="str">
        <f t="shared" si="1"/>
        <v>241</v>
      </c>
      <c r="E99" s="17" t="s">
        <v>124</v>
      </c>
      <c r="F99" s="43" t="s">
        <v>125</v>
      </c>
      <c r="G99" s="44"/>
      <c r="H99" s="44"/>
    </row>
    <row r="100" spans="1:8" ht="28.25" customHeight="1" x14ac:dyDescent="0.15">
      <c r="A100" s="13">
        <v>2</v>
      </c>
      <c r="B100" s="14">
        <v>4</v>
      </c>
      <c r="C100" s="15">
        <v>2</v>
      </c>
      <c r="D100" s="16" t="str">
        <f t="shared" si="1"/>
        <v>242</v>
      </c>
      <c r="E100" s="17" t="s">
        <v>126</v>
      </c>
      <c r="F100" s="20">
        <v>10.6</v>
      </c>
      <c r="G100" s="19"/>
      <c r="H100" s="19"/>
    </row>
    <row r="101" spans="1:8" ht="17.5" customHeight="1" x14ac:dyDescent="0.15">
      <c r="A101" s="13">
        <v>2</v>
      </c>
      <c r="B101" s="14">
        <v>4</v>
      </c>
      <c r="C101" s="15">
        <v>3</v>
      </c>
      <c r="D101" s="16" t="str">
        <f t="shared" si="1"/>
        <v>243</v>
      </c>
      <c r="E101" s="17" t="s">
        <v>127</v>
      </c>
      <c r="F101" s="18">
        <v>2.73</v>
      </c>
      <c r="G101" s="19"/>
      <c r="H101" s="19"/>
    </row>
    <row r="102" spans="1:8" ht="17.5" customHeight="1" x14ac:dyDescent="0.15">
      <c r="A102" s="13">
        <v>2</v>
      </c>
      <c r="B102" s="14">
        <v>4</v>
      </c>
      <c r="C102" s="15">
        <v>4</v>
      </c>
      <c r="D102" s="16" t="str">
        <f t="shared" si="1"/>
        <v>244</v>
      </c>
      <c r="E102" s="17" t="s">
        <v>128</v>
      </c>
      <c r="F102" s="18">
        <v>6.36</v>
      </c>
      <c r="G102" s="19"/>
      <c r="H102" s="19"/>
    </row>
    <row r="103" spans="1:8" ht="28.25" customHeight="1" x14ac:dyDescent="0.15">
      <c r="A103" s="13">
        <v>2</v>
      </c>
      <c r="B103" s="14">
        <v>4</v>
      </c>
      <c r="C103" s="15">
        <v>6</v>
      </c>
      <c r="D103" s="16" t="str">
        <f t="shared" si="1"/>
        <v>246</v>
      </c>
      <c r="E103" s="17" t="s">
        <v>129</v>
      </c>
      <c r="F103" s="20">
        <v>111</v>
      </c>
      <c r="G103" s="19"/>
      <c r="H103" s="19"/>
    </row>
    <row r="104" spans="1:8" ht="17.5" customHeight="1" x14ac:dyDescent="0.15">
      <c r="A104" s="13">
        <v>2</v>
      </c>
      <c r="B104" s="14">
        <v>4</v>
      </c>
      <c r="C104" s="15">
        <v>7</v>
      </c>
      <c r="D104" s="16" t="str">
        <f t="shared" si="1"/>
        <v>247</v>
      </c>
      <c r="E104" s="17" t="s">
        <v>130</v>
      </c>
      <c r="F104" s="18">
        <v>116.64</v>
      </c>
      <c r="G104" s="19"/>
      <c r="H104" s="19"/>
    </row>
    <row r="105" spans="1:8" ht="28.25" customHeight="1" x14ac:dyDescent="0.15">
      <c r="A105" s="13">
        <v>2</v>
      </c>
      <c r="B105" s="14">
        <v>4</v>
      </c>
      <c r="C105" s="15">
        <v>8</v>
      </c>
      <c r="D105" s="16" t="str">
        <f t="shared" si="1"/>
        <v>248</v>
      </c>
      <c r="E105" s="17" t="s">
        <v>131</v>
      </c>
      <c r="F105" s="18">
        <v>52.99</v>
      </c>
      <c r="G105" s="19"/>
      <c r="H105" s="19"/>
    </row>
    <row r="106" spans="1:8" ht="28.25" customHeight="1" x14ac:dyDescent="0.15">
      <c r="A106" s="13">
        <v>2</v>
      </c>
      <c r="B106" s="14">
        <v>4</v>
      </c>
      <c r="C106" s="15">
        <v>9</v>
      </c>
      <c r="D106" s="16" t="str">
        <f t="shared" si="1"/>
        <v>249</v>
      </c>
      <c r="E106" s="17" t="s">
        <v>132</v>
      </c>
      <c r="F106" s="18">
        <v>70.650000000000006</v>
      </c>
      <c r="G106" s="19"/>
      <c r="H106" s="19"/>
    </row>
    <row r="107" spans="1:8" ht="28.25" customHeight="1" x14ac:dyDescent="0.15">
      <c r="A107" s="13">
        <v>2</v>
      </c>
      <c r="B107" s="14">
        <v>4</v>
      </c>
      <c r="C107" s="15">
        <v>10</v>
      </c>
      <c r="D107" s="16" t="str">
        <f t="shared" si="1"/>
        <v>2410</v>
      </c>
      <c r="E107" s="17" t="s">
        <v>133</v>
      </c>
      <c r="F107" s="18">
        <v>70.650000000000006</v>
      </c>
      <c r="G107" s="19"/>
      <c r="H107" s="19"/>
    </row>
    <row r="108" spans="1:8" ht="28.25" customHeight="1" x14ac:dyDescent="0.15">
      <c r="A108" s="13">
        <v>2</v>
      </c>
      <c r="B108" s="14">
        <v>4</v>
      </c>
      <c r="C108" s="15">
        <v>11</v>
      </c>
      <c r="D108" s="16" t="str">
        <f t="shared" si="1"/>
        <v>2411</v>
      </c>
      <c r="E108" s="17" t="s">
        <v>134</v>
      </c>
      <c r="F108" s="18">
        <v>105.97</v>
      </c>
      <c r="G108" s="19"/>
      <c r="H108" s="19"/>
    </row>
    <row r="109" spans="1:8" ht="28.25" customHeight="1" x14ac:dyDescent="0.15">
      <c r="A109" s="13">
        <v>2</v>
      </c>
      <c r="B109" s="14">
        <v>4</v>
      </c>
      <c r="C109" s="15">
        <v>12</v>
      </c>
      <c r="D109" s="16" t="str">
        <f t="shared" si="1"/>
        <v>2412</v>
      </c>
      <c r="E109" s="17" t="s">
        <v>135</v>
      </c>
      <c r="F109" s="18">
        <v>122.46</v>
      </c>
      <c r="G109" s="19"/>
      <c r="H109" s="19"/>
    </row>
    <row r="110" spans="1:8" ht="17.5" customHeight="1" x14ac:dyDescent="0.15">
      <c r="A110" s="13">
        <v>2</v>
      </c>
      <c r="B110" s="14">
        <v>4</v>
      </c>
      <c r="C110" s="15">
        <v>13</v>
      </c>
      <c r="D110" s="16" t="str">
        <f t="shared" si="1"/>
        <v>2413</v>
      </c>
      <c r="E110" s="17" t="s">
        <v>136</v>
      </c>
      <c r="F110" s="18">
        <v>73.14</v>
      </c>
      <c r="G110" s="19"/>
      <c r="H110" s="19"/>
    </row>
    <row r="111" spans="1:8" ht="17.5" customHeight="1" x14ac:dyDescent="0.15">
      <c r="A111" s="13">
        <v>2</v>
      </c>
      <c r="B111" s="14">
        <v>4</v>
      </c>
      <c r="C111" s="15">
        <v>14</v>
      </c>
      <c r="D111" s="16" t="str">
        <f t="shared" si="1"/>
        <v>2414</v>
      </c>
      <c r="E111" s="17" t="s">
        <v>137</v>
      </c>
      <c r="F111" s="20">
        <v>125</v>
      </c>
      <c r="G111" s="19"/>
      <c r="H111" s="19"/>
    </row>
    <row r="112" spans="1:8" ht="17.5" customHeight="1" x14ac:dyDescent="0.15">
      <c r="A112" s="13">
        <v>2</v>
      </c>
      <c r="B112" s="14">
        <v>4</v>
      </c>
      <c r="C112" s="15">
        <v>15</v>
      </c>
      <c r="D112" s="16" t="str">
        <f t="shared" si="1"/>
        <v>2415</v>
      </c>
      <c r="E112" s="17" t="s">
        <v>138</v>
      </c>
      <c r="F112" s="20">
        <v>160</v>
      </c>
      <c r="G112" s="19"/>
      <c r="H112" s="19"/>
    </row>
    <row r="113" spans="1:8" ht="28.25" customHeight="1" x14ac:dyDescent="0.15">
      <c r="A113" s="13">
        <v>2</v>
      </c>
      <c r="B113" s="14">
        <v>4</v>
      </c>
      <c r="C113" s="15">
        <v>17</v>
      </c>
      <c r="D113" s="16" t="str">
        <f t="shared" si="1"/>
        <v>2417</v>
      </c>
      <c r="E113" s="17" t="s">
        <v>139</v>
      </c>
      <c r="F113" s="18">
        <v>70.650000000000006</v>
      </c>
      <c r="G113" s="19"/>
      <c r="H113" s="19"/>
    </row>
    <row r="114" spans="1:8" ht="17.5" customHeight="1" x14ac:dyDescent="0.15">
      <c r="A114" s="13">
        <v>2</v>
      </c>
      <c r="B114" s="14">
        <v>4</v>
      </c>
      <c r="C114" s="15">
        <v>18</v>
      </c>
      <c r="D114" s="16" t="str">
        <f t="shared" si="1"/>
        <v>2418</v>
      </c>
      <c r="E114" s="17" t="s">
        <v>140</v>
      </c>
      <c r="F114" s="20">
        <v>60</v>
      </c>
      <c r="G114" s="19"/>
      <c r="H114" s="19"/>
    </row>
    <row r="115" spans="1:8" ht="17.5" customHeight="1" x14ac:dyDescent="0.15">
      <c r="A115" s="13">
        <v>2</v>
      </c>
      <c r="B115" s="14">
        <v>4</v>
      </c>
      <c r="C115" s="15">
        <v>19</v>
      </c>
      <c r="D115" s="16" t="str">
        <f t="shared" si="1"/>
        <v>2419</v>
      </c>
      <c r="E115" s="17" t="s">
        <v>141</v>
      </c>
      <c r="F115" s="20">
        <v>70</v>
      </c>
      <c r="G115" s="19"/>
      <c r="H115" s="19"/>
    </row>
    <row r="116" spans="1:8" ht="28.25" customHeight="1" x14ac:dyDescent="0.15">
      <c r="A116" s="13">
        <v>2</v>
      </c>
      <c r="B116" s="14">
        <v>4</v>
      </c>
      <c r="C116" s="15">
        <v>20</v>
      </c>
      <c r="D116" s="16" t="str">
        <f t="shared" si="1"/>
        <v>2420</v>
      </c>
      <c r="E116" s="17" t="s">
        <v>142</v>
      </c>
      <c r="F116" s="18">
        <v>117.75</v>
      </c>
      <c r="G116" s="19"/>
      <c r="H116" s="19"/>
    </row>
    <row r="117" spans="1:8" ht="17.5" customHeight="1" x14ac:dyDescent="0.15">
      <c r="A117" s="13">
        <v>2</v>
      </c>
      <c r="B117" s="14">
        <v>4</v>
      </c>
      <c r="C117" s="15">
        <v>21</v>
      </c>
      <c r="D117" s="16" t="str">
        <f t="shared" si="1"/>
        <v>2421</v>
      </c>
      <c r="E117" s="17" t="s">
        <v>143</v>
      </c>
      <c r="F117" s="18">
        <v>70.650000000000006</v>
      </c>
      <c r="G117" s="19"/>
      <c r="H117" s="19"/>
    </row>
    <row r="118" spans="1:8" ht="56.5" customHeight="1" x14ac:dyDescent="0.15">
      <c r="A118" s="13">
        <v>2</v>
      </c>
      <c r="B118" s="14">
        <v>4</v>
      </c>
      <c r="C118" s="15">
        <v>22</v>
      </c>
      <c r="D118" s="16" t="str">
        <f t="shared" si="1"/>
        <v>2422</v>
      </c>
      <c r="E118" s="17" t="s">
        <v>144</v>
      </c>
      <c r="F118" s="18">
        <v>170.09</v>
      </c>
      <c r="G118" s="19"/>
      <c r="H118" s="19"/>
    </row>
    <row r="119" spans="1:8" ht="28.25" customHeight="1" x14ac:dyDescent="0.15">
      <c r="A119" s="13">
        <v>2</v>
      </c>
      <c r="B119" s="14">
        <v>5</v>
      </c>
      <c r="C119" s="15">
        <v>1</v>
      </c>
      <c r="D119" s="16" t="str">
        <f t="shared" si="1"/>
        <v>251</v>
      </c>
      <c r="E119" s="17" t="s">
        <v>145</v>
      </c>
      <c r="F119" s="18">
        <v>282.58999999999997</v>
      </c>
      <c r="G119" s="19"/>
      <c r="H119" s="19"/>
    </row>
    <row r="120" spans="1:8" ht="28.25" customHeight="1" x14ac:dyDescent="0.15">
      <c r="A120" s="13">
        <v>2</v>
      </c>
      <c r="B120" s="14">
        <v>5</v>
      </c>
      <c r="C120" s="15">
        <v>2</v>
      </c>
      <c r="D120" s="16" t="str">
        <f t="shared" si="1"/>
        <v>252</v>
      </c>
      <c r="E120" s="17" t="s">
        <v>146</v>
      </c>
      <c r="F120" s="20">
        <v>70</v>
      </c>
      <c r="G120" s="19"/>
      <c r="H120" s="19"/>
    </row>
    <row r="121" spans="1:8" ht="56.5" customHeight="1" x14ac:dyDescent="0.15">
      <c r="A121" s="13">
        <v>2</v>
      </c>
      <c r="B121" s="14">
        <v>5</v>
      </c>
      <c r="C121" s="15">
        <v>3</v>
      </c>
      <c r="D121" s="16" t="str">
        <f t="shared" si="1"/>
        <v>253</v>
      </c>
      <c r="E121" s="17" t="s">
        <v>147</v>
      </c>
      <c r="F121" s="18">
        <v>71.83</v>
      </c>
      <c r="G121" s="19"/>
      <c r="H121" s="19"/>
    </row>
    <row r="122" spans="1:8" ht="17.5" customHeight="1" x14ac:dyDescent="0.15">
      <c r="A122" s="13">
        <v>2</v>
      </c>
      <c r="B122" s="14">
        <v>5</v>
      </c>
      <c r="C122" s="15">
        <v>4</v>
      </c>
      <c r="D122" s="16" t="str">
        <f t="shared" si="1"/>
        <v>254</v>
      </c>
      <c r="E122" s="17" t="s">
        <v>148</v>
      </c>
      <c r="F122" s="18">
        <v>11.89</v>
      </c>
      <c r="G122" s="19"/>
      <c r="H122" s="19"/>
    </row>
    <row r="123" spans="1:8" ht="17.5" customHeight="1" x14ac:dyDescent="0.15">
      <c r="A123" s="13">
        <v>2</v>
      </c>
      <c r="B123" s="14">
        <v>5</v>
      </c>
      <c r="C123" s="15">
        <v>5</v>
      </c>
      <c r="D123" s="16" t="str">
        <f t="shared" si="1"/>
        <v>255</v>
      </c>
      <c r="E123" s="17" t="s">
        <v>149</v>
      </c>
      <c r="F123" s="18">
        <v>61.23</v>
      </c>
      <c r="G123" s="19"/>
      <c r="H123" s="19"/>
    </row>
    <row r="124" spans="1:8" ht="17.5" customHeight="1" x14ac:dyDescent="0.15">
      <c r="A124" s="13">
        <v>2</v>
      </c>
      <c r="B124" s="14">
        <v>5</v>
      </c>
      <c r="C124" s="15">
        <v>6</v>
      </c>
      <c r="D124" s="16" t="str">
        <f t="shared" si="1"/>
        <v>256</v>
      </c>
      <c r="E124" s="17" t="s">
        <v>150</v>
      </c>
      <c r="F124" s="18">
        <v>140.12</v>
      </c>
      <c r="G124" s="19"/>
      <c r="H124" s="19"/>
    </row>
    <row r="125" spans="1:8" ht="17.5" customHeight="1" x14ac:dyDescent="0.15">
      <c r="A125" s="13">
        <v>2</v>
      </c>
      <c r="B125" s="14">
        <v>5</v>
      </c>
      <c r="C125" s="15">
        <v>7</v>
      </c>
      <c r="D125" s="16" t="str">
        <f t="shared" si="1"/>
        <v>257</v>
      </c>
      <c r="E125" s="17" t="s">
        <v>151</v>
      </c>
      <c r="F125" s="18">
        <v>114.21</v>
      </c>
      <c r="G125" s="19"/>
      <c r="H125" s="19"/>
    </row>
    <row r="126" spans="1:8" ht="28.25" customHeight="1" x14ac:dyDescent="0.15">
      <c r="A126" s="13">
        <v>3</v>
      </c>
      <c r="B126" s="14">
        <v>1</v>
      </c>
      <c r="C126" s="15">
        <v>1</v>
      </c>
      <c r="D126" s="16" t="str">
        <f t="shared" si="1"/>
        <v>311</v>
      </c>
      <c r="E126" s="17" t="s">
        <v>152</v>
      </c>
      <c r="F126" s="18">
        <v>29.44</v>
      </c>
      <c r="G126" s="19"/>
      <c r="H126" s="19"/>
    </row>
    <row r="127" spans="1:8" ht="28.25" customHeight="1" x14ac:dyDescent="0.15">
      <c r="A127" s="13">
        <v>3</v>
      </c>
      <c r="B127" s="14">
        <v>1</v>
      </c>
      <c r="C127" s="15">
        <v>2</v>
      </c>
      <c r="D127" s="16" t="str">
        <f t="shared" si="1"/>
        <v>312</v>
      </c>
      <c r="E127" s="17" t="s">
        <v>153</v>
      </c>
      <c r="F127" s="20">
        <v>27</v>
      </c>
      <c r="G127" s="19"/>
      <c r="H127" s="19"/>
    </row>
    <row r="128" spans="1:8" ht="28.25" customHeight="1" x14ac:dyDescent="0.15">
      <c r="A128" s="13">
        <v>3</v>
      </c>
      <c r="B128" s="14">
        <v>1</v>
      </c>
      <c r="C128" s="15">
        <v>3</v>
      </c>
      <c r="D128" s="16" t="str">
        <f t="shared" si="1"/>
        <v>313</v>
      </c>
      <c r="E128" s="17" t="s">
        <v>154</v>
      </c>
      <c r="F128" s="20">
        <v>36.5</v>
      </c>
      <c r="G128" s="19"/>
      <c r="H128" s="19"/>
    </row>
    <row r="129" spans="1:8" ht="28.25" customHeight="1" x14ac:dyDescent="0.15">
      <c r="A129" s="13">
        <v>3</v>
      </c>
      <c r="B129" s="14">
        <v>1</v>
      </c>
      <c r="C129" s="15">
        <v>4</v>
      </c>
      <c r="D129" s="16" t="str">
        <f t="shared" si="1"/>
        <v>314</v>
      </c>
      <c r="E129" s="17" t="s">
        <v>155</v>
      </c>
      <c r="F129" s="20">
        <v>37</v>
      </c>
      <c r="G129" s="19"/>
      <c r="H129" s="19"/>
    </row>
    <row r="130" spans="1:8" ht="17.5" customHeight="1" x14ac:dyDescent="0.15">
      <c r="A130" s="13">
        <v>3</v>
      </c>
      <c r="B130" s="14">
        <v>1</v>
      </c>
      <c r="C130" s="15">
        <v>5</v>
      </c>
      <c r="D130" s="16" t="str">
        <f t="shared" ref="D130:D193" si="2">CONCATENATE(A130,B130,C130)</f>
        <v>315</v>
      </c>
      <c r="E130" s="17" t="s">
        <v>156</v>
      </c>
      <c r="F130" s="20">
        <v>10.6</v>
      </c>
      <c r="G130" s="19"/>
      <c r="H130" s="19"/>
    </row>
    <row r="131" spans="1:8" ht="28.25" customHeight="1" x14ac:dyDescent="0.15">
      <c r="A131" s="13">
        <v>3</v>
      </c>
      <c r="B131" s="14">
        <v>1</v>
      </c>
      <c r="C131" s="15">
        <v>6</v>
      </c>
      <c r="D131" s="16" t="str">
        <f t="shared" si="2"/>
        <v>316</v>
      </c>
      <c r="E131" s="17" t="s">
        <v>157</v>
      </c>
      <c r="F131" s="20">
        <v>9.5</v>
      </c>
      <c r="G131" s="19"/>
      <c r="H131" s="19"/>
    </row>
    <row r="132" spans="1:8" ht="17.5" customHeight="1" x14ac:dyDescent="0.15">
      <c r="A132" s="13">
        <v>3</v>
      </c>
      <c r="B132" s="14">
        <v>1</v>
      </c>
      <c r="C132" s="15">
        <v>7</v>
      </c>
      <c r="D132" s="16" t="str">
        <f t="shared" si="2"/>
        <v>317</v>
      </c>
      <c r="E132" s="17" t="s">
        <v>158</v>
      </c>
      <c r="F132" s="18">
        <v>14.13</v>
      </c>
      <c r="G132" s="19"/>
      <c r="H132" s="19"/>
    </row>
    <row r="133" spans="1:8" ht="17.5" customHeight="1" x14ac:dyDescent="0.15">
      <c r="A133" s="13">
        <v>3</v>
      </c>
      <c r="B133" s="14">
        <v>1</v>
      </c>
      <c r="C133" s="15">
        <v>8</v>
      </c>
      <c r="D133" s="16" t="str">
        <f t="shared" si="2"/>
        <v>318</v>
      </c>
      <c r="E133" s="17" t="s">
        <v>159</v>
      </c>
      <c r="F133" s="18">
        <v>17.66</v>
      </c>
      <c r="G133" s="19"/>
      <c r="H133" s="19"/>
    </row>
    <row r="134" spans="1:8" ht="17.5" customHeight="1" x14ac:dyDescent="0.15">
      <c r="A134" s="13">
        <v>3</v>
      </c>
      <c r="B134" s="14">
        <v>1</v>
      </c>
      <c r="C134" s="15">
        <v>9</v>
      </c>
      <c r="D134" s="16" t="str">
        <f t="shared" si="2"/>
        <v>319</v>
      </c>
      <c r="E134" s="17" t="s">
        <v>160</v>
      </c>
      <c r="F134" s="18">
        <v>9.42</v>
      </c>
      <c r="G134" s="19"/>
      <c r="H134" s="19"/>
    </row>
    <row r="135" spans="1:8" ht="28.25" customHeight="1" x14ac:dyDescent="0.15">
      <c r="A135" s="13">
        <v>3</v>
      </c>
      <c r="B135" s="14">
        <v>2</v>
      </c>
      <c r="C135" s="15">
        <v>1</v>
      </c>
      <c r="D135" s="16" t="str">
        <f t="shared" si="2"/>
        <v>321</v>
      </c>
      <c r="E135" s="17" t="s">
        <v>161</v>
      </c>
      <c r="F135" s="18">
        <v>29.44</v>
      </c>
      <c r="G135" s="19"/>
      <c r="H135" s="19"/>
    </row>
    <row r="136" spans="1:8" ht="28.25" customHeight="1" x14ac:dyDescent="0.15">
      <c r="A136" s="13">
        <v>3</v>
      </c>
      <c r="B136" s="14">
        <v>2</v>
      </c>
      <c r="C136" s="15">
        <v>2</v>
      </c>
      <c r="D136" s="16" t="str">
        <f t="shared" si="2"/>
        <v>322</v>
      </c>
      <c r="E136" s="17" t="s">
        <v>162</v>
      </c>
      <c r="F136" s="18">
        <v>36.58</v>
      </c>
      <c r="G136" s="19"/>
      <c r="H136" s="19"/>
    </row>
    <row r="137" spans="1:8" ht="42.5" customHeight="1" x14ac:dyDescent="0.15">
      <c r="A137" s="13">
        <v>3</v>
      </c>
      <c r="B137" s="14">
        <v>2</v>
      </c>
      <c r="C137" s="15">
        <v>3</v>
      </c>
      <c r="D137" s="16" t="str">
        <f t="shared" si="2"/>
        <v>323</v>
      </c>
      <c r="E137" s="17" t="s">
        <v>163</v>
      </c>
      <c r="F137" s="20">
        <v>42</v>
      </c>
      <c r="G137" s="19"/>
      <c r="H137" s="19"/>
    </row>
    <row r="138" spans="1:8" ht="28.25" customHeight="1" x14ac:dyDescent="0.15">
      <c r="A138" s="13">
        <v>3</v>
      </c>
      <c r="B138" s="14">
        <v>2</v>
      </c>
      <c r="C138" s="15">
        <v>4</v>
      </c>
      <c r="D138" s="16" t="str">
        <f t="shared" si="2"/>
        <v>324</v>
      </c>
      <c r="E138" s="17" t="s">
        <v>164</v>
      </c>
      <c r="F138" s="20">
        <v>43</v>
      </c>
      <c r="G138" s="19"/>
      <c r="H138" s="19"/>
    </row>
    <row r="139" spans="1:8" ht="28.25" customHeight="1" x14ac:dyDescent="0.15">
      <c r="A139" s="13">
        <v>3</v>
      </c>
      <c r="B139" s="14">
        <v>2</v>
      </c>
      <c r="C139" s="15">
        <v>5</v>
      </c>
      <c r="D139" s="16" t="str">
        <f t="shared" si="2"/>
        <v>325</v>
      </c>
      <c r="E139" s="17" t="s">
        <v>165</v>
      </c>
      <c r="F139" s="18">
        <v>9.77</v>
      </c>
      <c r="G139" s="19"/>
      <c r="H139" s="19"/>
    </row>
    <row r="140" spans="1:8" ht="28.25" customHeight="1" x14ac:dyDescent="0.15">
      <c r="A140" s="13">
        <v>3</v>
      </c>
      <c r="B140" s="14">
        <v>2</v>
      </c>
      <c r="C140" s="15">
        <v>6</v>
      </c>
      <c r="D140" s="16" t="str">
        <f t="shared" si="2"/>
        <v>326</v>
      </c>
      <c r="E140" s="17" t="s">
        <v>166</v>
      </c>
      <c r="F140" s="18">
        <v>25.56</v>
      </c>
      <c r="G140" s="19"/>
      <c r="H140" s="19"/>
    </row>
    <row r="141" spans="1:8" ht="28.25" customHeight="1" x14ac:dyDescent="0.15">
      <c r="A141" s="13">
        <v>3</v>
      </c>
      <c r="B141" s="14">
        <v>2</v>
      </c>
      <c r="C141" s="15">
        <v>7</v>
      </c>
      <c r="D141" s="16" t="str">
        <f t="shared" si="2"/>
        <v>327</v>
      </c>
      <c r="E141" s="17" t="s">
        <v>167</v>
      </c>
      <c r="F141" s="20">
        <v>1.5</v>
      </c>
      <c r="G141" s="19"/>
      <c r="H141" s="19"/>
    </row>
    <row r="142" spans="1:8" ht="28.25" customHeight="1" x14ac:dyDescent="0.15">
      <c r="A142" s="13">
        <v>3</v>
      </c>
      <c r="B142" s="14">
        <v>2</v>
      </c>
      <c r="C142" s="15">
        <v>8</v>
      </c>
      <c r="D142" s="16" t="str">
        <f t="shared" si="2"/>
        <v>328</v>
      </c>
      <c r="E142" s="17" t="s">
        <v>168</v>
      </c>
      <c r="F142" s="18">
        <v>11.89</v>
      </c>
      <c r="G142" s="19"/>
      <c r="H142" s="19"/>
    </row>
    <row r="143" spans="1:8" ht="17.5" customHeight="1" x14ac:dyDescent="0.15">
      <c r="A143" s="13">
        <v>4</v>
      </c>
      <c r="B143" s="14">
        <v>1</v>
      </c>
      <c r="C143" s="15">
        <v>1</v>
      </c>
      <c r="D143" s="16" t="str">
        <f t="shared" si="2"/>
        <v>411</v>
      </c>
      <c r="E143" s="17" t="s">
        <v>169</v>
      </c>
      <c r="F143" s="18">
        <v>24.73</v>
      </c>
      <c r="G143" s="19"/>
      <c r="H143" s="19"/>
    </row>
    <row r="144" spans="1:8" ht="17.5" customHeight="1" x14ac:dyDescent="0.15">
      <c r="A144" s="13">
        <v>4</v>
      </c>
      <c r="B144" s="14">
        <v>1</v>
      </c>
      <c r="C144" s="15">
        <v>2</v>
      </c>
      <c r="D144" s="16" t="str">
        <f t="shared" si="2"/>
        <v>412</v>
      </c>
      <c r="E144" s="17" t="s">
        <v>170</v>
      </c>
      <c r="F144" s="20">
        <v>40</v>
      </c>
      <c r="G144" s="19"/>
      <c r="H144" s="19"/>
    </row>
    <row r="145" spans="1:8" ht="17.5" customHeight="1" x14ac:dyDescent="0.15">
      <c r="A145" s="13">
        <v>4</v>
      </c>
      <c r="B145" s="14">
        <v>1</v>
      </c>
      <c r="C145" s="15">
        <v>3</v>
      </c>
      <c r="D145" s="16" t="str">
        <f t="shared" si="2"/>
        <v>413</v>
      </c>
      <c r="E145" s="17" t="s">
        <v>171</v>
      </c>
      <c r="F145" s="20">
        <v>43.6</v>
      </c>
      <c r="G145" s="19"/>
      <c r="H145" s="19"/>
    </row>
    <row r="146" spans="1:8" ht="17.5" customHeight="1" x14ac:dyDescent="0.15">
      <c r="A146" s="13">
        <v>4</v>
      </c>
      <c r="B146" s="14">
        <v>1</v>
      </c>
      <c r="C146" s="15">
        <v>4</v>
      </c>
      <c r="D146" s="16" t="str">
        <f t="shared" si="2"/>
        <v>414</v>
      </c>
      <c r="E146" s="17" t="s">
        <v>172</v>
      </c>
      <c r="F146" s="18">
        <v>40.08</v>
      </c>
      <c r="G146" s="19"/>
      <c r="H146" s="19"/>
    </row>
    <row r="147" spans="1:8" ht="17.5" customHeight="1" x14ac:dyDescent="0.15">
      <c r="A147" s="13">
        <v>4</v>
      </c>
      <c r="B147" s="14">
        <v>1</v>
      </c>
      <c r="C147" s="15">
        <v>5</v>
      </c>
      <c r="D147" s="16" t="str">
        <f t="shared" si="2"/>
        <v>415</v>
      </c>
      <c r="E147" s="17" t="s">
        <v>173</v>
      </c>
      <c r="F147" s="18">
        <v>12.53</v>
      </c>
      <c r="G147" s="19"/>
      <c r="H147" s="19"/>
    </row>
    <row r="148" spans="1:8" ht="17.5" customHeight="1" x14ac:dyDescent="0.15">
      <c r="A148" s="13">
        <v>4</v>
      </c>
      <c r="B148" s="14">
        <v>1</v>
      </c>
      <c r="C148" s="15">
        <v>6</v>
      </c>
      <c r="D148" s="16" t="str">
        <f t="shared" si="2"/>
        <v>416</v>
      </c>
      <c r="E148" s="17" t="s">
        <v>174</v>
      </c>
      <c r="F148" s="18">
        <v>14.15</v>
      </c>
      <c r="G148" s="19"/>
      <c r="H148" s="19"/>
    </row>
    <row r="149" spans="1:8" ht="17.5" customHeight="1" x14ac:dyDescent="0.15">
      <c r="A149" s="13">
        <v>4</v>
      </c>
      <c r="B149" s="14">
        <v>1</v>
      </c>
      <c r="C149" s="15">
        <v>7</v>
      </c>
      <c r="D149" s="16" t="str">
        <f t="shared" si="2"/>
        <v>417</v>
      </c>
      <c r="E149" s="17" t="s">
        <v>175</v>
      </c>
      <c r="F149" s="18">
        <v>29.42</v>
      </c>
      <c r="G149" s="19"/>
      <c r="H149" s="19"/>
    </row>
    <row r="150" spans="1:8" ht="17.5" customHeight="1" x14ac:dyDescent="0.15">
      <c r="A150" s="13">
        <v>4</v>
      </c>
      <c r="B150" s="14">
        <v>1</v>
      </c>
      <c r="C150" s="15">
        <v>8</v>
      </c>
      <c r="D150" s="16" t="str">
        <f t="shared" si="2"/>
        <v>418</v>
      </c>
      <c r="E150" s="17" t="s">
        <v>176</v>
      </c>
      <c r="F150" s="18">
        <v>36.54</v>
      </c>
      <c r="G150" s="19"/>
      <c r="H150" s="19"/>
    </row>
    <row r="151" spans="1:8" ht="17.5" customHeight="1" x14ac:dyDescent="0.15">
      <c r="A151" s="13">
        <v>4</v>
      </c>
      <c r="B151" s="14">
        <v>1</v>
      </c>
      <c r="C151" s="15">
        <v>9</v>
      </c>
      <c r="D151" s="16" t="str">
        <f t="shared" si="2"/>
        <v>419</v>
      </c>
      <c r="E151" s="17" t="s">
        <v>177</v>
      </c>
      <c r="F151" s="20">
        <v>21.4</v>
      </c>
      <c r="G151" s="19"/>
      <c r="H151" s="19"/>
    </row>
    <row r="152" spans="1:8" ht="17.5" customHeight="1" x14ac:dyDescent="0.15">
      <c r="A152" s="13">
        <v>4</v>
      </c>
      <c r="B152" s="14">
        <v>1</v>
      </c>
      <c r="C152" s="15">
        <v>10</v>
      </c>
      <c r="D152" s="16" t="str">
        <f t="shared" si="2"/>
        <v>4110</v>
      </c>
      <c r="E152" s="17" t="s">
        <v>178</v>
      </c>
      <c r="F152" s="18">
        <v>23.69</v>
      </c>
      <c r="G152" s="19"/>
      <c r="H152" s="19"/>
    </row>
    <row r="153" spans="1:8" ht="17.5" customHeight="1" x14ac:dyDescent="0.15">
      <c r="A153" s="13">
        <v>4</v>
      </c>
      <c r="B153" s="14">
        <v>1</v>
      </c>
      <c r="C153" s="15">
        <v>11</v>
      </c>
      <c r="D153" s="16" t="str">
        <f t="shared" si="2"/>
        <v>4111</v>
      </c>
      <c r="E153" s="17" t="s">
        <v>179</v>
      </c>
      <c r="F153" s="18">
        <v>25.51</v>
      </c>
      <c r="G153" s="19"/>
      <c r="H153" s="19"/>
    </row>
    <row r="154" spans="1:8" ht="17.5" customHeight="1" x14ac:dyDescent="0.15">
      <c r="A154" s="13">
        <v>4</v>
      </c>
      <c r="B154" s="14">
        <v>1</v>
      </c>
      <c r="C154" s="15">
        <v>12</v>
      </c>
      <c r="D154" s="16" t="str">
        <f t="shared" si="2"/>
        <v>4112</v>
      </c>
      <c r="E154" s="17" t="s">
        <v>180</v>
      </c>
      <c r="F154" s="18">
        <v>15.27</v>
      </c>
      <c r="G154" s="19"/>
      <c r="H154" s="19"/>
    </row>
    <row r="155" spans="1:8" ht="17.5" customHeight="1" x14ac:dyDescent="0.15">
      <c r="A155" s="13">
        <v>4</v>
      </c>
      <c r="B155" s="14">
        <v>1</v>
      </c>
      <c r="C155" s="15">
        <v>13</v>
      </c>
      <c r="D155" s="16" t="str">
        <f t="shared" si="2"/>
        <v>4113</v>
      </c>
      <c r="E155" s="17" t="s">
        <v>181</v>
      </c>
      <c r="F155" s="18">
        <v>41.21</v>
      </c>
      <c r="G155" s="19"/>
      <c r="H155" s="19"/>
    </row>
    <row r="156" spans="1:8" ht="17.5" customHeight="1" x14ac:dyDescent="0.15">
      <c r="A156" s="13">
        <v>4</v>
      </c>
      <c r="B156" s="14">
        <v>1</v>
      </c>
      <c r="C156" s="15">
        <v>14</v>
      </c>
      <c r="D156" s="16" t="str">
        <f t="shared" si="2"/>
        <v>4114</v>
      </c>
      <c r="E156" s="17" t="s">
        <v>182</v>
      </c>
      <c r="F156" s="18">
        <v>68.290000000000006</v>
      </c>
      <c r="G156" s="19"/>
      <c r="H156" s="19"/>
    </row>
    <row r="157" spans="1:8" ht="28.25" customHeight="1" x14ac:dyDescent="0.15">
      <c r="A157" s="13">
        <v>5</v>
      </c>
      <c r="B157" s="14">
        <v>1</v>
      </c>
      <c r="C157" s="15">
        <v>1</v>
      </c>
      <c r="D157" s="16" t="str">
        <f t="shared" si="2"/>
        <v>511</v>
      </c>
      <c r="E157" s="17" t="s">
        <v>183</v>
      </c>
      <c r="F157" s="18">
        <v>216.88</v>
      </c>
      <c r="G157" s="19"/>
      <c r="H157" s="19"/>
    </row>
    <row r="158" spans="1:8" ht="28.25" customHeight="1" x14ac:dyDescent="0.15">
      <c r="A158" s="13">
        <v>5</v>
      </c>
      <c r="B158" s="14">
        <v>1</v>
      </c>
      <c r="C158" s="15">
        <v>2</v>
      </c>
      <c r="D158" s="16" t="str">
        <f t="shared" si="2"/>
        <v>512</v>
      </c>
      <c r="E158" s="17" t="s">
        <v>184</v>
      </c>
      <c r="F158" s="20">
        <v>281</v>
      </c>
      <c r="G158" s="19"/>
      <c r="H158" s="19"/>
    </row>
    <row r="159" spans="1:8" ht="42.5" customHeight="1" x14ac:dyDescent="0.15">
      <c r="A159" s="13">
        <v>5</v>
      </c>
      <c r="B159" s="14">
        <v>1</v>
      </c>
      <c r="C159" s="15">
        <v>3</v>
      </c>
      <c r="D159" s="16" t="str">
        <f t="shared" si="2"/>
        <v>513</v>
      </c>
      <c r="E159" s="17" t="s">
        <v>185</v>
      </c>
      <c r="F159" s="18">
        <v>168.69</v>
      </c>
      <c r="G159" s="19"/>
      <c r="H159" s="19"/>
    </row>
    <row r="160" spans="1:8" ht="42.5" customHeight="1" x14ac:dyDescent="0.15">
      <c r="A160" s="13">
        <v>5</v>
      </c>
      <c r="B160" s="14">
        <v>1</v>
      </c>
      <c r="C160" s="15">
        <v>4</v>
      </c>
      <c r="D160" s="16" t="str">
        <f t="shared" si="2"/>
        <v>514</v>
      </c>
      <c r="E160" s="17" t="s">
        <v>186</v>
      </c>
      <c r="F160" s="20">
        <v>211</v>
      </c>
      <c r="G160" s="19"/>
      <c r="H160" s="19"/>
    </row>
    <row r="161" spans="1:8" ht="28.25" customHeight="1" x14ac:dyDescent="0.15">
      <c r="A161" s="13">
        <v>5</v>
      </c>
      <c r="B161" s="14">
        <v>1</v>
      </c>
      <c r="C161" s="15">
        <v>5</v>
      </c>
      <c r="D161" s="16" t="str">
        <f t="shared" si="2"/>
        <v>515</v>
      </c>
      <c r="E161" s="17" t="s">
        <v>187</v>
      </c>
      <c r="F161" s="18">
        <v>17.55</v>
      </c>
      <c r="G161" s="19"/>
      <c r="H161" s="19"/>
    </row>
    <row r="162" spans="1:8" ht="28.25" customHeight="1" x14ac:dyDescent="0.15">
      <c r="A162" s="13">
        <v>5</v>
      </c>
      <c r="B162" s="14">
        <v>1</v>
      </c>
      <c r="C162" s="15">
        <v>6</v>
      </c>
      <c r="D162" s="16" t="str">
        <f t="shared" si="2"/>
        <v>516</v>
      </c>
      <c r="E162" s="17" t="s">
        <v>188</v>
      </c>
      <c r="F162" s="20">
        <v>27.3</v>
      </c>
      <c r="G162" s="19"/>
      <c r="H162" s="19"/>
    </row>
    <row r="163" spans="1:8" ht="56.5" customHeight="1" x14ac:dyDescent="0.15">
      <c r="A163" s="13">
        <v>5</v>
      </c>
      <c r="B163" s="14">
        <v>2</v>
      </c>
      <c r="C163" s="15">
        <v>1</v>
      </c>
      <c r="D163" s="16" t="str">
        <f t="shared" si="2"/>
        <v>521</v>
      </c>
      <c r="E163" s="17" t="s">
        <v>189</v>
      </c>
      <c r="F163" s="18">
        <v>15.69</v>
      </c>
      <c r="G163" s="19"/>
      <c r="H163" s="19"/>
    </row>
    <row r="164" spans="1:8" ht="56.5" customHeight="1" x14ac:dyDescent="0.15">
      <c r="A164" s="13">
        <v>5</v>
      </c>
      <c r="B164" s="14">
        <v>2</v>
      </c>
      <c r="C164" s="15">
        <v>2</v>
      </c>
      <c r="D164" s="16" t="str">
        <f t="shared" si="2"/>
        <v>522</v>
      </c>
      <c r="E164" s="17" t="s">
        <v>190</v>
      </c>
      <c r="F164" s="20">
        <v>17</v>
      </c>
      <c r="G164" s="19"/>
      <c r="H164" s="19"/>
    </row>
    <row r="165" spans="1:8" ht="56.5" customHeight="1" x14ac:dyDescent="0.15">
      <c r="A165" s="13">
        <v>5</v>
      </c>
      <c r="B165" s="14">
        <v>2</v>
      </c>
      <c r="C165" s="15">
        <v>3</v>
      </c>
      <c r="D165" s="16" t="str">
        <f t="shared" si="2"/>
        <v>523</v>
      </c>
      <c r="E165" s="17" t="s">
        <v>191</v>
      </c>
      <c r="F165" s="20">
        <v>21.1</v>
      </c>
      <c r="G165" s="19"/>
      <c r="H165" s="19"/>
    </row>
    <row r="166" spans="1:8" ht="28.25" customHeight="1" x14ac:dyDescent="0.15">
      <c r="A166" s="13">
        <v>5</v>
      </c>
      <c r="B166" s="14">
        <v>2</v>
      </c>
      <c r="C166" s="15">
        <v>4</v>
      </c>
      <c r="D166" s="16" t="str">
        <f t="shared" si="2"/>
        <v>524</v>
      </c>
      <c r="E166" s="17" t="s">
        <v>192</v>
      </c>
      <c r="F166" s="18">
        <v>3.91</v>
      </c>
      <c r="G166" s="19"/>
      <c r="H166" s="19"/>
    </row>
    <row r="167" spans="1:8" ht="28.25" customHeight="1" x14ac:dyDescent="0.15">
      <c r="A167" s="13">
        <v>5</v>
      </c>
      <c r="B167" s="14">
        <v>2</v>
      </c>
      <c r="C167" s="15">
        <v>5</v>
      </c>
      <c r="D167" s="16" t="str">
        <f t="shared" si="2"/>
        <v>525</v>
      </c>
      <c r="E167" s="17" t="s">
        <v>193</v>
      </c>
      <c r="F167" s="18">
        <v>105.97</v>
      </c>
      <c r="G167" s="19"/>
      <c r="H167" s="19"/>
    </row>
    <row r="168" spans="1:8" ht="42.5" customHeight="1" x14ac:dyDescent="0.15">
      <c r="A168" s="13">
        <v>5</v>
      </c>
      <c r="B168" s="14">
        <v>2</v>
      </c>
      <c r="C168" s="15">
        <v>6</v>
      </c>
      <c r="D168" s="16" t="str">
        <f t="shared" si="2"/>
        <v>526</v>
      </c>
      <c r="E168" s="17" t="s">
        <v>194</v>
      </c>
      <c r="F168" s="20">
        <v>143.30000000000001</v>
      </c>
      <c r="G168" s="19"/>
      <c r="H168" s="19"/>
    </row>
    <row r="169" spans="1:8" ht="56.5" customHeight="1" x14ac:dyDescent="0.15">
      <c r="A169" s="13">
        <v>5</v>
      </c>
      <c r="B169" s="14">
        <v>2</v>
      </c>
      <c r="C169" s="15">
        <v>7</v>
      </c>
      <c r="D169" s="16" t="str">
        <f t="shared" si="2"/>
        <v>527</v>
      </c>
      <c r="E169" s="17" t="s">
        <v>195</v>
      </c>
      <c r="F169" s="18">
        <v>176.62</v>
      </c>
      <c r="G169" s="19"/>
      <c r="H169" s="19"/>
    </row>
    <row r="170" spans="1:8" ht="56.5" customHeight="1" x14ac:dyDescent="0.15">
      <c r="A170" s="13">
        <v>5</v>
      </c>
      <c r="B170" s="14">
        <v>2</v>
      </c>
      <c r="C170" s="15">
        <v>8</v>
      </c>
      <c r="D170" s="16" t="str">
        <f t="shared" si="2"/>
        <v>528</v>
      </c>
      <c r="E170" s="17" t="s">
        <v>196</v>
      </c>
      <c r="F170" s="20">
        <v>154</v>
      </c>
      <c r="G170" s="19"/>
      <c r="H170" s="19"/>
    </row>
    <row r="171" spans="1:8" ht="17.5" customHeight="1" x14ac:dyDescent="0.15">
      <c r="A171" s="13">
        <v>5</v>
      </c>
      <c r="B171" s="14">
        <v>2</v>
      </c>
      <c r="C171" s="15">
        <v>9</v>
      </c>
      <c r="D171" s="16" t="str">
        <f t="shared" si="2"/>
        <v>529</v>
      </c>
      <c r="E171" s="17" t="s">
        <v>197</v>
      </c>
      <c r="F171" s="18">
        <v>59.72</v>
      </c>
      <c r="G171" s="19"/>
      <c r="H171" s="19"/>
    </row>
    <row r="172" spans="1:8" ht="28.25" customHeight="1" x14ac:dyDescent="0.15">
      <c r="A172" s="13">
        <v>5</v>
      </c>
      <c r="B172" s="14">
        <v>2</v>
      </c>
      <c r="C172" s="15">
        <v>10</v>
      </c>
      <c r="D172" s="16" t="str">
        <f t="shared" si="2"/>
        <v>5210</v>
      </c>
      <c r="E172" s="17" t="s">
        <v>198</v>
      </c>
      <c r="F172" s="20">
        <v>19.5</v>
      </c>
      <c r="G172" s="19"/>
      <c r="H172" s="19"/>
    </row>
    <row r="173" spans="1:8" ht="42.5" customHeight="1" x14ac:dyDescent="0.15">
      <c r="A173" s="13">
        <v>5</v>
      </c>
      <c r="B173" s="14">
        <v>2</v>
      </c>
      <c r="C173" s="15">
        <v>11</v>
      </c>
      <c r="D173" s="16" t="str">
        <f t="shared" si="2"/>
        <v>5211</v>
      </c>
      <c r="E173" s="17" t="s">
        <v>199</v>
      </c>
      <c r="F173" s="20">
        <v>460.9</v>
      </c>
      <c r="G173" s="19"/>
      <c r="H173" s="19"/>
    </row>
    <row r="174" spans="1:8" ht="28.25" customHeight="1" x14ac:dyDescent="0.15">
      <c r="A174" s="13">
        <v>5</v>
      </c>
      <c r="B174" s="14">
        <v>2</v>
      </c>
      <c r="C174" s="15">
        <v>12</v>
      </c>
      <c r="D174" s="16" t="str">
        <f t="shared" si="2"/>
        <v>5212</v>
      </c>
      <c r="E174" s="17" t="s">
        <v>200</v>
      </c>
      <c r="F174" s="20">
        <v>175</v>
      </c>
      <c r="G174" s="19"/>
      <c r="H174" s="19"/>
    </row>
    <row r="175" spans="1:8" ht="17.5" customHeight="1" x14ac:dyDescent="0.15">
      <c r="A175" s="13">
        <v>5</v>
      </c>
      <c r="B175" s="14">
        <v>2</v>
      </c>
      <c r="C175" s="15">
        <v>13</v>
      </c>
      <c r="D175" s="16" t="str">
        <f t="shared" si="2"/>
        <v>5213</v>
      </c>
      <c r="E175" s="17" t="s">
        <v>201</v>
      </c>
      <c r="F175" s="20">
        <v>105</v>
      </c>
      <c r="G175" s="19"/>
      <c r="H175" s="19"/>
    </row>
    <row r="176" spans="1:8" ht="28.25" customHeight="1" x14ac:dyDescent="0.15">
      <c r="A176" s="13">
        <v>5</v>
      </c>
      <c r="B176" s="14">
        <v>2</v>
      </c>
      <c r="C176" s="15">
        <v>14</v>
      </c>
      <c r="D176" s="16" t="str">
        <f t="shared" si="2"/>
        <v>5214</v>
      </c>
      <c r="E176" s="17" t="s">
        <v>202</v>
      </c>
      <c r="F176" s="20">
        <v>47</v>
      </c>
      <c r="G176" s="19"/>
      <c r="H176" s="19"/>
    </row>
    <row r="177" spans="1:8" ht="28.25" customHeight="1" x14ac:dyDescent="0.15">
      <c r="A177" s="13">
        <v>5</v>
      </c>
      <c r="B177" s="14">
        <v>2</v>
      </c>
      <c r="C177" s="15">
        <v>15</v>
      </c>
      <c r="D177" s="16" t="str">
        <f t="shared" si="2"/>
        <v>5215</v>
      </c>
      <c r="E177" s="17" t="s">
        <v>203</v>
      </c>
      <c r="F177" s="20">
        <v>42.4</v>
      </c>
      <c r="G177" s="19"/>
      <c r="H177" s="19"/>
    </row>
    <row r="178" spans="1:8" ht="17.5" customHeight="1" x14ac:dyDescent="0.15">
      <c r="A178" s="13">
        <v>5</v>
      </c>
      <c r="B178" s="14">
        <v>2</v>
      </c>
      <c r="C178" s="15">
        <v>16</v>
      </c>
      <c r="D178" s="16" t="str">
        <f t="shared" si="2"/>
        <v>5216</v>
      </c>
      <c r="E178" s="17" t="s">
        <v>204</v>
      </c>
      <c r="F178" s="18">
        <v>12.36</v>
      </c>
      <c r="G178" s="19"/>
      <c r="H178" s="19"/>
    </row>
    <row r="179" spans="1:8" ht="17.5" customHeight="1" x14ac:dyDescent="0.15">
      <c r="A179" s="13">
        <v>5</v>
      </c>
      <c r="B179" s="14">
        <v>2</v>
      </c>
      <c r="C179" s="15">
        <v>17</v>
      </c>
      <c r="D179" s="16" t="str">
        <f t="shared" si="2"/>
        <v>5217</v>
      </c>
      <c r="E179" s="17" t="s">
        <v>205</v>
      </c>
      <c r="F179" s="18">
        <v>69.47</v>
      </c>
      <c r="G179" s="19"/>
      <c r="H179" s="19"/>
    </row>
    <row r="180" spans="1:8" ht="28.25" customHeight="1" x14ac:dyDescent="0.15">
      <c r="A180" s="13">
        <v>5</v>
      </c>
      <c r="B180" s="14">
        <v>2</v>
      </c>
      <c r="C180" s="15">
        <v>18</v>
      </c>
      <c r="D180" s="16" t="str">
        <f t="shared" si="2"/>
        <v>5218</v>
      </c>
      <c r="E180" s="17" t="s">
        <v>206</v>
      </c>
      <c r="F180" s="18">
        <v>52.99</v>
      </c>
      <c r="G180" s="19"/>
      <c r="H180" s="19"/>
    </row>
    <row r="181" spans="1:8" ht="28.25" customHeight="1" x14ac:dyDescent="0.15">
      <c r="A181" s="13">
        <v>5</v>
      </c>
      <c r="B181" s="14">
        <v>2</v>
      </c>
      <c r="C181" s="15">
        <v>19</v>
      </c>
      <c r="D181" s="16" t="str">
        <f t="shared" si="2"/>
        <v>5219</v>
      </c>
      <c r="E181" s="17" t="s">
        <v>207</v>
      </c>
      <c r="F181" s="18">
        <v>84.47</v>
      </c>
      <c r="G181" s="19"/>
      <c r="H181" s="19"/>
    </row>
    <row r="182" spans="1:8" ht="17.5" customHeight="1" x14ac:dyDescent="0.15">
      <c r="A182" s="13">
        <v>5</v>
      </c>
      <c r="B182" s="14">
        <v>2</v>
      </c>
      <c r="C182" s="15">
        <v>20</v>
      </c>
      <c r="D182" s="16" t="str">
        <f t="shared" si="2"/>
        <v>5220</v>
      </c>
      <c r="E182" s="17" t="s">
        <v>208</v>
      </c>
      <c r="F182" s="20">
        <v>85</v>
      </c>
      <c r="G182" s="19"/>
      <c r="H182" s="19"/>
    </row>
    <row r="183" spans="1:8" ht="56.5" customHeight="1" x14ac:dyDescent="0.15">
      <c r="A183" s="13">
        <v>5</v>
      </c>
      <c r="B183" s="14">
        <v>2</v>
      </c>
      <c r="C183" s="15">
        <v>21</v>
      </c>
      <c r="D183" s="16" t="str">
        <f t="shared" si="2"/>
        <v>5221</v>
      </c>
      <c r="E183" s="17" t="s">
        <v>209</v>
      </c>
      <c r="F183" s="20">
        <v>186.9</v>
      </c>
      <c r="G183" s="19"/>
      <c r="H183" s="19"/>
    </row>
    <row r="184" spans="1:8" ht="28.25" customHeight="1" x14ac:dyDescent="0.15">
      <c r="A184" s="13">
        <v>5</v>
      </c>
      <c r="B184" s="14">
        <v>2</v>
      </c>
      <c r="C184" s="15">
        <v>22</v>
      </c>
      <c r="D184" s="16" t="str">
        <f t="shared" si="2"/>
        <v>5222</v>
      </c>
      <c r="E184" s="17" t="s">
        <v>210</v>
      </c>
      <c r="F184" s="18">
        <v>83.98</v>
      </c>
      <c r="G184" s="19"/>
      <c r="H184" s="19"/>
    </row>
    <row r="185" spans="1:8" ht="17.5" customHeight="1" x14ac:dyDescent="0.15">
      <c r="A185" s="13">
        <v>5</v>
      </c>
      <c r="B185" s="14">
        <v>2</v>
      </c>
      <c r="C185" s="15">
        <v>23</v>
      </c>
      <c r="D185" s="16" t="str">
        <f t="shared" si="2"/>
        <v>5223</v>
      </c>
      <c r="E185" s="17" t="s">
        <v>211</v>
      </c>
      <c r="F185" s="20">
        <v>100.8</v>
      </c>
      <c r="G185" s="19"/>
      <c r="H185" s="19"/>
    </row>
    <row r="186" spans="1:8" ht="17.5" customHeight="1" x14ac:dyDescent="0.15">
      <c r="A186" s="13">
        <v>5</v>
      </c>
      <c r="B186" s="14">
        <v>2</v>
      </c>
      <c r="C186" s="15">
        <v>24</v>
      </c>
      <c r="D186" s="16" t="str">
        <f t="shared" si="2"/>
        <v>5224</v>
      </c>
      <c r="E186" s="17" t="s">
        <v>212</v>
      </c>
      <c r="F186" s="18">
        <v>194.28</v>
      </c>
      <c r="G186" s="19"/>
      <c r="H186" s="19"/>
    </row>
    <row r="187" spans="1:8" ht="17.5" customHeight="1" x14ac:dyDescent="0.15">
      <c r="A187" s="13">
        <v>5</v>
      </c>
      <c r="B187" s="14">
        <v>2</v>
      </c>
      <c r="C187" s="15">
        <v>25</v>
      </c>
      <c r="D187" s="16" t="str">
        <f t="shared" si="2"/>
        <v>5225</v>
      </c>
      <c r="E187" s="17" t="s">
        <v>213</v>
      </c>
      <c r="F187" s="18">
        <v>244.82</v>
      </c>
      <c r="G187" s="19"/>
      <c r="H187" s="19"/>
    </row>
    <row r="188" spans="1:8" ht="28.25" customHeight="1" x14ac:dyDescent="0.15">
      <c r="A188" s="13">
        <v>5</v>
      </c>
      <c r="B188" s="14">
        <v>2</v>
      </c>
      <c r="C188" s="15">
        <v>26</v>
      </c>
      <c r="D188" s="16" t="str">
        <f t="shared" si="2"/>
        <v>5226</v>
      </c>
      <c r="E188" s="17" t="s">
        <v>214</v>
      </c>
      <c r="F188" s="20">
        <v>10.8</v>
      </c>
      <c r="G188" s="19"/>
      <c r="H188" s="19"/>
    </row>
    <row r="189" spans="1:8" ht="42.5" customHeight="1" x14ac:dyDescent="0.15">
      <c r="A189" s="13">
        <v>5</v>
      </c>
      <c r="B189" s="14">
        <v>2</v>
      </c>
      <c r="C189" s="15">
        <v>27</v>
      </c>
      <c r="D189" s="16" t="str">
        <f t="shared" si="2"/>
        <v>5227</v>
      </c>
      <c r="E189" s="17" t="s">
        <v>215</v>
      </c>
      <c r="F189" s="45" t="s">
        <v>216</v>
      </c>
      <c r="G189" s="46"/>
      <c r="H189" s="46"/>
    </row>
    <row r="190" spans="1:8" ht="42.5" customHeight="1" x14ac:dyDescent="0.15">
      <c r="A190" s="13">
        <v>5</v>
      </c>
      <c r="B190" s="14">
        <v>2</v>
      </c>
      <c r="C190" s="15">
        <v>28</v>
      </c>
      <c r="D190" s="16" t="str">
        <f t="shared" si="2"/>
        <v>5228</v>
      </c>
      <c r="E190" s="17" t="s">
        <v>217</v>
      </c>
      <c r="F190" s="45" t="s">
        <v>218</v>
      </c>
      <c r="G190" s="46"/>
      <c r="H190" s="46"/>
    </row>
    <row r="191" spans="1:8" ht="28.25" customHeight="1" x14ac:dyDescent="0.15">
      <c r="A191" s="13">
        <v>5</v>
      </c>
      <c r="B191" s="14">
        <v>2</v>
      </c>
      <c r="C191" s="15">
        <v>29</v>
      </c>
      <c r="D191" s="16" t="str">
        <f t="shared" si="2"/>
        <v>5229</v>
      </c>
      <c r="E191" s="17" t="s">
        <v>219</v>
      </c>
      <c r="F191" s="18">
        <v>45.15</v>
      </c>
      <c r="G191" s="19"/>
      <c r="H191" s="19"/>
    </row>
    <row r="192" spans="1:8" ht="42.5" customHeight="1" x14ac:dyDescent="0.15">
      <c r="A192" s="13">
        <v>5</v>
      </c>
      <c r="B192" s="14">
        <v>2</v>
      </c>
      <c r="C192" s="15">
        <v>30</v>
      </c>
      <c r="D192" s="16" t="str">
        <f t="shared" si="2"/>
        <v>5230</v>
      </c>
      <c r="E192" s="17" t="s">
        <v>220</v>
      </c>
      <c r="F192" s="20">
        <v>105</v>
      </c>
      <c r="G192" s="19"/>
      <c r="H192" s="19"/>
    </row>
    <row r="193" spans="1:8" ht="17.5" customHeight="1" x14ac:dyDescent="0.15">
      <c r="A193" s="13">
        <v>6</v>
      </c>
      <c r="B193" s="14">
        <v>1</v>
      </c>
      <c r="C193" s="15">
        <v>1</v>
      </c>
      <c r="D193" s="16" t="str">
        <f t="shared" si="2"/>
        <v>611</v>
      </c>
      <c r="E193" s="17" t="s">
        <v>221</v>
      </c>
      <c r="F193" s="18">
        <v>165.62</v>
      </c>
      <c r="G193" s="19"/>
      <c r="H193" s="19"/>
    </row>
    <row r="194" spans="1:8" ht="28.25" customHeight="1" x14ac:dyDescent="0.15">
      <c r="A194" s="13">
        <v>6</v>
      </c>
      <c r="B194" s="14">
        <v>1</v>
      </c>
      <c r="C194" s="15">
        <v>2</v>
      </c>
      <c r="D194" s="16" t="str">
        <f t="shared" ref="D194:D257" si="3">CONCATENATE(A194,B194,C194)</f>
        <v>612</v>
      </c>
      <c r="E194" s="17" t="s">
        <v>222</v>
      </c>
      <c r="F194" s="20">
        <v>10.8</v>
      </c>
      <c r="G194" s="19"/>
      <c r="H194" s="19"/>
    </row>
    <row r="195" spans="1:8" ht="17.5" customHeight="1" x14ac:dyDescent="0.15">
      <c r="A195" s="13">
        <v>6</v>
      </c>
      <c r="B195" s="14">
        <v>1</v>
      </c>
      <c r="C195" s="15">
        <v>3</v>
      </c>
      <c r="D195" s="16" t="str">
        <f t="shared" si="3"/>
        <v>613</v>
      </c>
      <c r="E195" s="17" t="s">
        <v>223</v>
      </c>
      <c r="F195" s="20">
        <v>50.4</v>
      </c>
      <c r="G195" s="19"/>
      <c r="H195" s="19"/>
    </row>
    <row r="196" spans="1:8" ht="42.5" customHeight="1" x14ac:dyDescent="0.15">
      <c r="A196" s="13">
        <v>6</v>
      </c>
      <c r="B196" s="14">
        <v>1</v>
      </c>
      <c r="C196" s="15">
        <v>4</v>
      </c>
      <c r="D196" s="16" t="str">
        <f t="shared" si="3"/>
        <v>614</v>
      </c>
      <c r="E196" s="17" t="s">
        <v>224</v>
      </c>
      <c r="F196" s="18">
        <v>160.75</v>
      </c>
      <c r="G196" s="19"/>
      <c r="H196" s="19"/>
    </row>
    <row r="197" spans="1:8" ht="42.5" customHeight="1" x14ac:dyDescent="0.15">
      <c r="A197" s="13">
        <v>6</v>
      </c>
      <c r="B197" s="14">
        <v>1</v>
      </c>
      <c r="C197" s="15">
        <v>5</v>
      </c>
      <c r="D197" s="16" t="str">
        <f t="shared" si="3"/>
        <v>615</v>
      </c>
      <c r="E197" s="17" t="s">
        <v>225</v>
      </c>
      <c r="F197" s="20">
        <v>130</v>
      </c>
      <c r="G197" s="19"/>
      <c r="H197" s="19"/>
    </row>
    <row r="198" spans="1:8" ht="17.5" customHeight="1" x14ac:dyDescent="0.15">
      <c r="A198" s="13">
        <v>6</v>
      </c>
      <c r="B198" s="14">
        <v>1</v>
      </c>
      <c r="C198" s="15">
        <v>6</v>
      </c>
      <c r="D198" s="16" t="str">
        <f t="shared" si="3"/>
        <v>616</v>
      </c>
      <c r="E198" s="17" t="s">
        <v>226</v>
      </c>
      <c r="F198" s="18">
        <v>123.63</v>
      </c>
      <c r="G198" s="19"/>
      <c r="H198" s="19"/>
    </row>
    <row r="199" spans="1:8" ht="17.5" customHeight="1" x14ac:dyDescent="0.15">
      <c r="A199" s="13">
        <v>6</v>
      </c>
      <c r="B199" s="14">
        <v>1</v>
      </c>
      <c r="C199" s="15">
        <v>7</v>
      </c>
      <c r="D199" s="16" t="str">
        <f t="shared" si="3"/>
        <v>617</v>
      </c>
      <c r="E199" s="17" t="s">
        <v>227</v>
      </c>
      <c r="F199" s="18">
        <v>105.97</v>
      </c>
      <c r="G199" s="19"/>
      <c r="H199" s="19"/>
    </row>
    <row r="200" spans="1:8" ht="17.5" customHeight="1" x14ac:dyDescent="0.15">
      <c r="A200" s="13">
        <v>6</v>
      </c>
      <c r="B200" s="14">
        <v>1</v>
      </c>
      <c r="C200" s="15">
        <v>8</v>
      </c>
      <c r="D200" s="16" t="str">
        <f t="shared" si="3"/>
        <v>618</v>
      </c>
      <c r="E200" s="17" t="s">
        <v>228</v>
      </c>
      <c r="F200" s="18">
        <v>105.97</v>
      </c>
      <c r="G200" s="19"/>
      <c r="H200" s="19"/>
    </row>
    <row r="201" spans="1:8" ht="17.5" customHeight="1" x14ac:dyDescent="0.15">
      <c r="A201" s="13">
        <v>6</v>
      </c>
      <c r="B201" s="14">
        <v>1</v>
      </c>
      <c r="C201" s="15">
        <v>9</v>
      </c>
      <c r="D201" s="16" t="str">
        <f t="shared" si="3"/>
        <v>619</v>
      </c>
      <c r="E201" s="17" t="s">
        <v>229</v>
      </c>
      <c r="F201" s="20">
        <v>10.3</v>
      </c>
      <c r="G201" s="19"/>
      <c r="H201" s="19"/>
    </row>
    <row r="202" spans="1:8" ht="17.5" customHeight="1" x14ac:dyDescent="0.15">
      <c r="A202" s="13">
        <v>6</v>
      </c>
      <c r="B202" s="14">
        <v>1</v>
      </c>
      <c r="C202" s="15">
        <v>10</v>
      </c>
      <c r="D202" s="16" t="str">
        <f t="shared" si="3"/>
        <v>6110</v>
      </c>
      <c r="E202" s="17" t="s">
        <v>230</v>
      </c>
      <c r="F202" s="18">
        <v>16.48</v>
      </c>
      <c r="G202" s="19"/>
      <c r="H202" s="19"/>
    </row>
    <row r="203" spans="1:8" ht="17.5" customHeight="1" x14ac:dyDescent="0.15">
      <c r="A203" s="13">
        <v>6</v>
      </c>
      <c r="B203" s="14">
        <v>1</v>
      </c>
      <c r="C203" s="15">
        <v>11</v>
      </c>
      <c r="D203" s="16" t="str">
        <f t="shared" si="3"/>
        <v>6111</v>
      </c>
      <c r="E203" s="17" t="s">
        <v>231</v>
      </c>
      <c r="F203" s="18">
        <v>41.72</v>
      </c>
      <c r="G203" s="19"/>
      <c r="H203" s="19"/>
    </row>
    <row r="204" spans="1:8" ht="56.5" customHeight="1" x14ac:dyDescent="0.15">
      <c r="A204" s="13">
        <v>6</v>
      </c>
      <c r="B204" s="14">
        <v>1</v>
      </c>
      <c r="C204" s="15">
        <v>12</v>
      </c>
      <c r="D204" s="16" t="str">
        <f t="shared" si="3"/>
        <v>6112</v>
      </c>
      <c r="E204" s="17" t="s">
        <v>232</v>
      </c>
      <c r="F204" s="20">
        <v>19.3</v>
      </c>
      <c r="G204" s="19"/>
      <c r="H204" s="19"/>
    </row>
    <row r="205" spans="1:8" ht="17.5" customHeight="1" x14ac:dyDescent="0.15">
      <c r="A205" s="13">
        <v>6</v>
      </c>
      <c r="B205" s="14">
        <v>1</v>
      </c>
      <c r="C205" s="15">
        <v>13</v>
      </c>
      <c r="D205" s="16" t="str">
        <f t="shared" si="3"/>
        <v>6113</v>
      </c>
      <c r="E205" s="17" t="s">
        <v>233</v>
      </c>
      <c r="F205" s="20">
        <v>47.1</v>
      </c>
      <c r="G205" s="19"/>
      <c r="H205" s="19"/>
    </row>
    <row r="206" spans="1:8" ht="17.5" customHeight="1" x14ac:dyDescent="0.15">
      <c r="A206" s="13">
        <v>6</v>
      </c>
      <c r="B206" s="14">
        <v>1</v>
      </c>
      <c r="C206" s="15">
        <v>14</v>
      </c>
      <c r="D206" s="16" t="str">
        <f t="shared" si="3"/>
        <v>6114</v>
      </c>
      <c r="E206" s="17" t="s">
        <v>234</v>
      </c>
      <c r="F206" s="18">
        <v>65.94</v>
      </c>
      <c r="G206" s="19"/>
      <c r="H206" s="19"/>
    </row>
    <row r="207" spans="1:8" ht="70.25" customHeight="1" x14ac:dyDescent="0.15">
      <c r="A207" s="13">
        <v>6</v>
      </c>
      <c r="B207" s="14">
        <v>1</v>
      </c>
      <c r="C207" s="15">
        <v>15</v>
      </c>
      <c r="D207" s="16" t="str">
        <f t="shared" si="3"/>
        <v>6115</v>
      </c>
      <c r="E207" s="17" t="s">
        <v>235</v>
      </c>
      <c r="F207" s="45" t="s">
        <v>236</v>
      </c>
      <c r="G207" s="46"/>
      <c r="H207" s="46"/>
    </row>
    <row r="208" spans="1:8" ht="70.25" customHeight="1" x14ac:dyDescent="0.15">
      <c r="A208" s="13">
        <v>6</v>
      </c>
      <c r="B208" s="14">
        <v>1</v>
      </c>
      <c r="C208" s="15">
        <v>16</v>
      </c>
      <c r="D208" s="16" t="str">
        <f t="shared" si="3"/>
        <v>6116</v>
      </c>
      <c r="E208" s="17" t="s">
        <v>237</v>
      </c>
      <c r="F208" s="45" t="s">
        <v>238</v>
      </c>
      <c r="G208" s="46"/>
      <c r="H208" s="46"/>
    </row>
    <row r="209" spans="1:8" ht="17.5" customHeight="1" x14ac:dyDescent="0.15">
      <c r="A209" s="13">
        <v>6</v>
      </c>
      <c r="B209" s="14">
        <v>1</v>
      </c>
      <c r="C209" s="15">
        <v>17</v>
      </c>
      <c r="D209" s="16" t="str">
        <f t="shared" si="3"/>
        <v>6117</v>
      </c>
      <c r="E209" s="17" t="s">
        <v>239</v>
      </c>
      <c r="F209" s="18">
        <v>19.77</v>
      </c>
      <c r="G209" s="19"/>
      <c r="H209" s="19"/>
    </row>
    <row r="210" spans="1:8" ht="17.5" customHeight="1" x14ac:dyDescent="0.15">
      <c r="A210" s="13">
        <v>6</v>
      </c>
      <c r="B210" s="14">
        <v>1</v>
      </c>
      <c r="C210" s="15">
        <v>19</v>
      </c>
      <c r="D210" s="16" t="str">
        <f t="shared" si="3"/>
        <v>6119</v>
      </c>
      <c r="E210" s="17" t="s">
        <v>240</v>
      </c>
      <c r="F210" s="45" t="s">
        <v>241</v>
      </c>
      <c r="G210" s="46"/>
      <c r="H210" s="46"/>
    </row>
    <row r="211" spans="1:8" ht="17.5" customHeight="1" x14ac:dyDescent="0.15">
      <c r="A211" s="13">
        <v>6</v>
      </c>
      <c r="B211" s="14">
        <v>1</v>
      </c>
      <c r="C211" s="15">
        <v>20</v>
      </c>
      <c r="D211" s="16" t="str">
        <f t="shared" si="3"/>
        <v>6120</v>
      </c>
      <c r="E211" s="17" t="s">
        <v>242</v>
      </c>
      <c r="F211" s="20">
        <v>200</v>
      </c>
      <c r="G211" s="19"/>
      <c r="H211" s="19"/>
    </row>
    <row r="212" spans="1:8" ht="42.5" customHeight="1" x14ac:dyDescent="0.15">
      <c r="A212" s="13">
        <v>7</v>
      </c>
      <c r="B212" s="14">
        <v>1</v>
      </c>
      <c r="C212" s="15">
        <v>1</v>
      </c>
      <c r="D212" s="16" t="str">
        <f t="shared" si="3"/>
        <v>711</v>
      </c>
      <c r="E212" s="17" t="s">
        <v>243</v>
      </c>
      <c r="F212" s="18">
        <v>177.21</v>
      </c>
      <c r="G212" s="19"/>
      <c r="H212" s="19"/>
    </row>
    <row r="213" spans="1:8" ht="42.5" customHeight="1" x14ac:dyDescent="0.15">
      <c r="A213" s="13">
        <v>7</v>
      </c>
      <c r="B213" s="14">
        <v>1</v>
      </c>
      <c r="C213" s="15">
        <v>2</v>
      </c>
      <c r="D213" s="16" t="str">
        <f t="shared" si="3"/>
        <v>712</v>
      </c>
      <c r="E213" s="17" t="s">
        <v>244</v>
      </c>
      <c r="F213" s="18">
        <v>237.01</v>
      </c>
      <c r="G213" s="19"/>
      <c r="H213" s="19"/>
    </row>
    <row r="214" spans="1:8" ht="42.5" customHeight="1" x14ac:dyDescent="0.15">
      <c r="A214" s="13">
        <v>7</v>
      </c>
      <c r="B214" s="14">
        <v>1</v>
      </c>
      <c r="C214" s="15">
        <v>3</v>
      </c>
      <c r="D214" s="16" t="str">
        <f t="shared" si="3"/>
        <v>713</v>
      </c>
      <c r="E214" s="17" t="s">
        <v>245</v>
      </c>
      <c r="F214" s="18">
        <v>350.11</v>
      </c>
      <c r="G214" s="19"/>
      <c r="H214" s="19"/>
    </row>
    <row r="215" spans="1:8" ht="42.5" customHeight="1" x14ac:dyDescent="0.15">
      <c r="A215" s="13">
        <v>7</v>
      </c>
      <c r="B215" s="14">
        <v>1</v>
      </c>
      <c r="C215" s="15">
        <v>4</v>
      </c>
      <c r="D215" s="16" t="str">
        <f t="shared" si="3"/>
        <v>714</v>
      </c>
      <c r="E215" s="17" t="s">
        <v>246</v>
      </c>
      <c r="F215" s="18">
        <v>49.49</v>
      </c>
      <c r="G215" s="19"/>
      <c r="H215" s="19"/>
    </row>
    <row r="216" spans="1:8" ht="42.5" customHeight="1" x14ac:dyDescent="0.15">
      <c r="A216" s="13">
        <v>7</v>
      </c>
      <c r="B216" s="14">
        <v>1</v>
      </c>
      <c r="C216" s="15">
        <v>5</v>
      </c>
      <c r="D216" s="16" t="str">
        <f t="shared" si="3"/>
        <v>715</v>
      </c>
      <c r="E216" s="17" t="s">
        <v>247</v>
      </c>
      <c r="F216" s="20">
        <v>58.3</v>
      </c>
      <c r="G216" s="19"/>
      <c r="H216" s="19"/>
    </row>
    <row r="217" spans="1:8" ht="42.5" customHeight="1" x14ac:dyDescent="0.15">
      <c r="A217" s="13">
        <v>7</v>
      </c>
      <c r="B217" s="14">
        <v>1</v>
      </c>
      <c r="C217" s="15">
        <v>6</v>
      </c>
      <c r="D217" s="16" t="str">
        <f t="shared" si="3"/>
        <v>716</v>
      </c>
      <c r="E217" s="17" t="s">
        <v>248</v>
      </c>
      <c r="F217" s="18">
        <v>75.27</v>
      </c>
      <c r="G217" s="19"/>
      <c r="H217" s="19"/>
    </row>
    <row r="218" spans="1:8" ht="56.5" customHeight="1" x14ac:dyDescent="0.15">
      <c r="A218" s="13">
        <v>7</v>
      </c>
      <c r="B218" s="14">
        <v>1</v>
      </c>
      <c r="C218" s="15">
        <v>7</v>
      </c>
      <c r="D218" s="16" t="str">
        <f t="shared" si="3"/>
        <v>717</v>
      </c>
      <c r="E218" s="17" t="s">
        <v>249</v>
      </c>
      <c r="F218" s="20">
        <v>309</v>
      </c>
      <c r="G218" s="19"/>
      <c r="H218" s="19"/>
    </row>
    <row r="219" spans="1:8" ht="84.5" customHeight="1" x14ac:dyDescent="0.15">
      <c r="A219" s="13">
        <v>7</v>
      </c>
      <c r="B219" s="14">
        <v>1</v>
      </c>
      <c r="C219" s="15">
        <v>8</v>
      </c>
      <c r="D219" s="16" t="str">
        <f t="shared" si="3"/>
        <v>718</v>
      </c>
      <c r="E219" s="17" t="s">
        <v>250</v>
      </c>
      <c r="F219" s="20">
        <v>376</v>
      </c>
      <c r="G219" s="19"/>
      <c r="H219" s="19"/>
    </row>
    <row r="220" spans="1:8" ht="84.5" customHeight="1" x14ac:dyDescent="0.15">
      <c r="A220" s="13">
        <v>7</v>
      </c>
      <c r="B220" s="14">
        <v>1</v>
      </c>
      <c r="C220" s="15">
        <v>9</v>
      </c>
      <c r="D220" s="16" t="str">
        <f t="shared" si="3"/>
        <v>719</v>
      </c>
      <c r="E220" s="17" t="s">
        <v>251</v>
      </c>
      <c r="F220" s="20">
        <v>537</v>
      </c>
      <c r="G220" s="19"/>
      <c r="H220" s="19"/>
    </row>
    <row r="221" spans="1:8" ht="70.25" customHeight="1" x14ac:dyDescent="0.15">
      <c r="A221" s="13">
        <v>7</v>
      </c>
      <c r="B221" s="14">
        <v>1</v>
      </c>
      <c r="C221" s="15">
        <v>10</v>
      </c>
      <c r="D221" s="16" t="str">
        <f t="shared" si="3"/>
        <v>7110</v>
      </c>
      <c r="E221" s="17" t="s">
        <v>252</v>
      </c>
      <c r="F221" s="18">
        <v>34.64</v>
      </c>
      <c r="G221" s="19"/>
      <c r="H221" s="19"/>
    </row>
    <row r="222" spans="1:8" ht="84.5" customHeight="1" x14ac:dyDescent="0.15">
      <c r="A222" s="13">
        <v>7</v>
      </c>
      <c r="B222" s="14">
        <v>1</v>
      </c>
      <c r="C222" s="15">
        <v>11</v>
      </c>
      <c r="D222" s="16" t="str">
        <f t="shared" si="3"/>
        <v>7111</v>
      </c>
      <c r="E222" s="17" t="s">
        <v>253</v>
      </c>
      <c r="F222" s="18">
        <v>39.31</v>
      </c>
      <c r="G222" s="19"/>
      <c r="H222" s="19"/>
    </row>
    <row r="223" spans="1:8" ht="84.5" customHeight="1" x14ac:dyDescent="0.15">
      <c r="A223" s="13">
        <v>7</v>
      </c>
      <c r="B223" s="14">
        <v>1</v>
      </c>
      <c r="C223" s="15">
        <v>12</v>
      </c>
      <c r="D223" s="16" t="str">
        <f t="shared" si="3"/>
        <v>7112</v>
      </c>
      <c r="E223" s="17" t="s">
        <v>254</v>
      </c>
      <c r="F223" s="18">
        <v>56.52</v>
      </c>
      <c r="G223" s="19"/>
      <c r="H223" s="19"/>
    </row>
    <row r="224" spans="1:8" ht="70.25" customHeight="1" x14ac:dyDescent="0.15">
      <c r="A224" s="13">
        <v>7</v>
      </c>
      <c r="B224" s="14">
        <v>1</v>
      </c>
      <c r="C224" s="15">
        <v>13</v>
      </c>
      <c r="D224" s="16" t="str">
        <f t="shared" si="3"/>
        <v>7113</v>
      </c>
      <c r="E224" s="17" t="s">
        <v>255</v>
      </c>
      <c r="F224" s="18">
        <v>70.510000000000005</v>
      </c>
      <c r="G224" s="19"/>
      <c r="H224" s="19"/>
    </row>
    <row r="225" spans="1:8" ht="56.5" customHeight="1" x14ac:dyDescent="0.15">
      <c r="A225" s="13">
        <v>7</v>
      </c>
      <c r="B225" s="14">
        <v>1</v>
      </c>
      <c r="C225" s="15">
        <v>14</v>
      </c>
      <c r="D225" s="16" t="str">
        <f t="shared" si="3"/>
        <v>7114</v>
      </c>
      <c r="E225" s="17" t="s">
        <v>256</v>
      </c>
      <c r="F225" s="18">
        <v>35.32</v>
      </c>
      <c r="G225" s="19"/>
      <c r="H225" s="19"/>
    </row>
    <row r="226" spans="1:8" ht="56.5" customHeight="1" x14ac:dyDescent="0.15">
      <c r="A226" s="13">
        <v>7</v>
      </c>
      <c r="B226" s="14">
        <v>1</v>
      </c>
      <c r="C226" s="15">
        <v>15</v>
      </c>
      <c r="D226" s="16" t="str">
        <f t="shared" si="3"/>
        <v>7115</v>
      </c>
      <c r="E226" s="17" t="s">
        <v>257</v>
      </c>
      <c r="F226" s="20">
        <v>50.7</v>
      </c>
      <c r="G226" s="19"/>
      <c r="H226" s="19"/>
    </row>
    <row r="227" spans="1:8" ht="56.5" customHeight="1" x14ac:dyDescent="0.15">
      <c r="A227" s="13">
        <v>7</v>
      </c>
      <c r="B227" s="14">
        <v>1</v>
      </c>
      <c r="C227" s="15">
        <v>16</v>
      </c>
      <c r="D227" s="16" t="str">
        <f t="shared" si="3"/>
        <v>7116</v>
      </c>
      <c r="E227" s="17" t="s">
        <v>258</v>
      </c>
      <c r="F227" s="20">
        <v>70.2</v>
      </c>
      <c r="G227" s="19"/>
      <c r="H227" s="19"/>
    </row>
    <row r="228" spans="1:8" ht="56.5" customHeight="1" x14ac:dyDescent="0.15">
      <c r="A228" s="13">
        <v>7</v>
      </c>
      <c r="B228" s="14">
        <v>1</v>
      </c>
      <c r="C228" s="15">
        <v>17</v>
      </c>
      <c r="D228" s="16" t="str">
        <f t="shared" si="3"/>
        <v>7117</v>
      </c>
      <c r="E228" s="17" t="s">
        <v>259</v>
      </c>
      <c r="F228" s="18">
        <v>49.45</v>
      </c>
      <c r="G228" s="19"/>
      <c r="H228" s="19"/>
    </row>
    <row r="229" spans="1:8" ht="42.5" customHeight="1" x14ac:dyDescent="0.15">
      <c r="A229" s="13">
        <v>7</v>
      </c>
      <c r="B229" s="14">
        <v>1</v>
      </c>
      <c r="C229" s="15">
        <v>18</v>
      </c>
      <c r="D229" s="16" t="str">
        <f t="shared" si="3"/>
        <v>7118</v>
      </c>
      <c r="E229" s="17" t="s">
        <v>260</v>
      </c>
      <c r="F229" s="18">
        <v>29.99</v>
      </c>
      <c r="G229" s="19"/>
      <c r="H229" s="19"/>
    </row>
    <row r="230" spans="1:8" ht="56.5" customHeight="1" x14ac:dyDescent="0.15">
      <c r="A230" s="13">
        <v>7</v>
      </c>
      <c r="B230" s="14">
        <v>1</v>
      </c>
      <c r="C230" s="15">
        <v>19</v>
      </c>
      <c r="D230" s="16" t="str">
        <f t="shared" si="3"/>
        <v>7119</v>
      </c>
      <c r="E230" s="17" t="s">
        <v>261</v>
      </c>
      <c r="F230" s="20">
        <v>44.4</v>
      </c>
      <c r="G230" s="19"/>
      <c r="H230" s="19"/>
    </row>
    <row r="231" spans="1:8" ht="28.25" customHeight="1" x14ac:dyDescent="0.15">
      <c r="A231" s="13">
        <v>7</v>
      </c>
      <c r="B231" s="14">
        <v>1</v>
      </c>
      <c r="C231" s="15">
        <v>20</v>
      </c>
      <c r="D231" s="16" t="str">
        <f t="shared" si="3"/>
        <v>7120</v>
      </c>
      <c r="E231" s="17" t="s">
        <v>262</v>
      </c>
      <c r="F231" s="18">
        <v>27.19</v>
      </c>
      <c r="G231" s="19"/>
      <c r="H231" s="19"/>
    </row>
    <row r="232" spans="1:8" ht="42.5" customHeight="1" x14ac:dyDescent="0.15">
      <c r="A232" s="13">
        <v>7</v>
      </c>
      <c r="B232" s="14">
        <v>1</v>
      </c>
      <c r="C232" s="15">
        <v>21</v>
      </c>
      <c r="D232" s="16" t="str">
        <f t="shared" si="3"/>
        <v>7121</v>
      </c>
      <c r="E232" s="17" t="s">
        <v>263</v>
      </c>
      <c r="F232" s="20">
        <v>61.5</v>
      </c>
      <c r="G232" s="19"/>
      <c r="H232" s="19"/>
    </row>
    <row r="233" spans="1:8" ht="56.5" customHeight="1" x14ac:dyDescent="0.15">
      <c r="A233" s="13">
        <v>7</v>
      </c>
      <c r="B233" s="14">
        <v>1</v>
      </c>
      <c r="C233" s="15">
        <v>22</v>
      </c>
      <c r="D233" s="16" t="str">
        <f t="shared" si="3"/>
        <v>7122</v>
      </c>
      <c r="E233" s="17" t="s">
        <v>264</v>
      </c>
      <c r="F233" s="20">
        <v>33</v>
      </c>
      <c r="G233" s="19"/>
      <c r="H233" s="19"/>
    </row>
    <row r="234" spans="1:8" ht="42.5" customHeight="1" x14ac:dyDescent="0.15">
      <c r="A234" s="13">
        <v>7</v>
      </c>
      <c r="B234" s="14">
        <v>1</v>
      </c>
      <c r="C234" s="15">
        <v>23</v>
      </c>
      <c r="D234" s="16" t="str">
        <f t="shared" si="3"/>
        <v>7123</v>
      </c>
      <c r="E234" s="17" t="s">
        <v>265</v>
      </c>
      <c r="F234" s="20">
        <v>18</v>
      </c>
      <c r="G234" s="19"/>
      <c r="H234" s="19"/>
    </row>
    <row r="235" spans="1:8" ht="56.5" customHeight="1" x14ac:dyDescent="0.15">
      <c r="A235" s="13">
        <v>7</v>
      </c>
      <c r="B235" s="14">
        <v>1</v>
      </c>
      <c r="C235" s="15">
        <v>24</v>
      </c>
      <c r="D235" s="16" t="str">
        <f t="shared" si="3"/>
        <v>7124</v>
      </c>
      <c r="E235" s="17" t="s">
        <v>266</v>
      </c>
      <c r="F235" s="18">
        <v>60.73</v>
      </c>
      <c r="G235" s="19"/>
      <c r="H235" s="19"/>
    </row>
    <row r="236" spans="1:8" ht="42.5" customHeight="1" x14ac:dyDescent="0.15">
      <c r="A236" s="13">
        <v>7</v>
      </c>
      <c r="B236" s="14">
        <v>1</v>
      </c>
      <c r="C236" s="15">
        <v>25</v>
      </c>
      <c r="D236" s="16" t="str">
        <f t="shared" si="3"/>
        <v>7125</v>
      </c>
      <c r="E236" s="17" t="s">
        <v>267</v>
      </c>
      <c r="F236" s="20">
        <v>105</v>
      </c>
      <c r="G236" s="19"/>
      <c r="H236" s="19"/>
    </row>
    <row r="237" spans="1:8" ht="28.25" customHeight="1" x14ac:dyDescent="0.15">
      <c r="A237" s="13">
        <v>7</v>
      </c>
      <c r="B237" s="14">
        <v>1</v>
      </c>
      <c r="C237" s="15">
        <v>26</v>
      </c>
      <c r="D237" s="16" t="str">
        <f t="shared" si="3"/>
        <v>7126</v>
      </c>
      <c r="E237" s="17" t="s">
        <v>268</v>
      </c>
      <c r="F237" s="20">
        <v>200</v>
      </c>
      <c r="G237" s="19"/>
      <c r="H237" s="19"/>
    </row>
    <row r="238" spans="1:8" ht="28.25" customHeight="1" x14ac:dyDescent="0.15">
      <c r="A238" s="13">
        <v>7</v>
      </c>
      <c r="B238" s="14">
        <v>1</v>
      </c>
      <c r="C238" s="15">
        <v>27</v>
      </c>
      <c r="D238" s="16" t="str">
        <f t="shared" si="3"/>
        <v>7127</v>
      </c>
      <c r="E238" s="17" t="s">
        <v>269</v>
      </c>
      <c r="F238" s="20">
        <v>350</v>
      </c>
      <c r="G238" s="19"/>
      <c r="H238" s="19"/>
    </row>
    <row r="239" spans="1:8" ht="17.5" customHeight="1" x14ac:dyDescent="0.15">
      <c r="A239" s="13">
        <v>7</v>
      </c>
      <c r="B239" s="14">
        <v>2</v>
      </c>
      <c r="C239" s="15">
        <v>1</v>
      </c>
      <c r="D239" s="16" t="str">
        <f t="shared" si="3"/>
        <v>721</v>
      </c>
      <c r="E239" s="17" t="s">
        <v>270</v>
      </c>
      <c r="F239" s="18">
        <v>58.87</v>
      </c>
      <c r="G239" s="19"/>
      <c r="H239" s="19"/>
    </row>
    <row r="240" spans="1:8" ht="17.5" customHeight="1" x14ac:dyDescent="0.15">
      <c r="A240" s="13">
        <v>7</v>
      </c>
      <c r="B240" s="14">
        <v>2</v>
      </c>
      <c r="C240" s="15">
        <v>2</v>
      </c>
      <c r="D240" s="16" t="str">
        <f t="shared" si="3"/>
        <v>722</v>
      </c>
      <c r="E240" s="17" t="s">
        <v>271</v>
      </c>
      <c r="F240" s="20">
        <v>70</v>
      </c>
      <c r="G240" s="19"/>
      <c r="H240" s="19"/>
    </row>
    <row r="241" spans="1:8" ht="17.5" customHeight="1" x14ac:dyDescent="0.15">
      <c r="A241" s="13">
        <v>7</v>
      </c>
      <c r="B241" s="14">
        <v>2</v>
      </c>
      <c r="C241" s="15">
        <v>3</v>
      </c>
      <c r="D241" s="16" t="str">
        <f t="shared" si="3"/>
        <v>723</v>
      </c>
      <c r="E241" s="17" t="s">
        <v>272</v>
      </c>
      <c r="F241" s="20">
        <v>35</v>
      </c>
      <c r="G241" s="19"/>
      <c r="H241" s="19"/>
    </row>
    <row r="242" spans="1:8" ht="17.5" customHeight="1" x14ac:dyDescent="0.15">
      <c r="A242" s="13">
        <v>7</v>
      </c>
      <c r="B242" s="14">
        <v>2</v>
      </c>
      <c r="C242" s="15">
        <v>4</v>
      </c>
      <c r="D242" s="16" t="str">
        <f t="shared" si="3"/>
        <v>724</v>
      </c>
      <c r="E242" s="17" t="s">
        <v>273</v>
      </c>
      <c r="F242" s="20">
        <v>46</v>
      </c>
      <c r="G242" s="19"/>
      <c r="H242" s="19"/>
    </row>
    <row r="243" spans="1:8" ht="17.5" customHeight="1" x14ac:dyDescent="0.15">
      <c r="A243" s="13">
        <v>7</v>
      </c>
      <c r="B243" s="14">
        <v>2</v>
      </c>
      <c r="C243" s="15">
        <v>5</v>
      </c>
      <c r="D243" s="16" t="str">
        <f t="shared" si="3"/>
        <v>725</v>
      </c>
      <c r="E243" s="17" t="s">
        <v>274</v>
      </c>
      <c r="F243" s="18">
        <v>60.78</v>
      </c>
      <c r="G243" s="19"/>
      <c r="H243" s="19"/>
    </row>
    <row r="244" spans="1:8" ht="17.5" customHeight="1" x14ac:dyDescent="0.15">
      <c r="A244" s="13">
        <v>7</v>
      </c>
      <c r="B244" s="14">
        <v>2</v>
      </c>
      <c r="C244" s="15">
        <v>6</v>
      </c>
      <c r="D244" s="16" t="str">
        <f t="shared" si="3"/>
        <v>726</v>
      </c>
      <c r="E244" s="17" t="s">
        <v>275</v>
      </c>
      <c r="F244" s="20">
        <v>64.5</v>
      </c>
      <c r="G244" s="19"/>
      <c r="H244" s="19"/>
    </row>
    <row r="245" spans="1:8" ht="17.5" customHeight="1" x14ac:dyDescent="0.15">
      <c r="A245" s="13">
        <v>7</v>
      </c>
      <c r="B245" s="14">
        <v>2</v>
      </c>
      <c r="C245" s="15">
        <v>7</v>
      </c>
      <c r="D245" s="16" t="str">
        <f t="shared" si="3"/>
        <v>727</v>
      </c>
      <c r="E245" s="17" t="s">
        <v>276</v>
      </c>
      <c r="F245" s="20">
        <v>78.599999999999994</v>
      </c>
      <c r="G245" s="19"/>
      <c r="H245" s="19"/>
    </row>
    <row r="246" spans="1:8" ht="28.25" customHeight="1" x14ac:dyDescent="0.15">
      <c r="A246" s="13">
        <v>7</v>
      </c>
      <c r="B246" s="14">
        <v>2</v>
      </c>
      <c r="C246" s="15">
        <v>8</v>
      </c>
      <c r="D246" s="16" t="str">
        <f t="shared" si="3"/>
        <v>728</v>
      </c>
      <c r="E246" s="17" t="s">
        <v>277</v>
      </c>
      <c r="F246" s="18">
        <v>30.67</v>
      </c>
      <c r="G246" s="19"/>
      <c r="H246" s="19"/>
    </row>
    <row r="247" spans="1:8" ht="28.25" customHeight="1" x14ac:dyDescent="0.15">
      <c r="A247" s="13">
        <v>7</v>
      </c>
      <c r="B247" s="14">
        <v>2</v>
      </c>
      <c r="C247" s="15">
        <v>9</v>
      </c>
      <c r="D247" s="16" t="str">
        <f t="shared" si="3"/>
        <v>729</v>
      </c>
      <c r="E247" s="17" t="s">
        <v>278</v>
      </c>
      <c r="F247" s="18">
        <v>42.62</v>
      </c>
      <c r="G247" s="19"/>
      <c r="H247" s="19"/>
    </row>
    <row r="248" spans="1:8" ht="42.5" customHeight="1" x14ac:dyDescent="0.15">
      <c r="A248" s="13">
        <v>7</v>
      </c>
      <c r="B248" s="14">
        <v>2</v>
      </c>
      <c r="C248" s="15">
        <v>10</v>
      </c>
      <c r="D248" s="16" t="str">
        <f t="shared" si="3"/>
        <v>7210</v>
      </c>
      <c r="E248" s="17" t="s">
        <v>279</v>
      </c>
      <c r="F248" s="18">
        <v>14.99</v>
      </c>
      <c r="G248" s="19"/>
      <c r="H248" s="19"/>
    </row>
    <row r="249" spans="1:8" ht="28.25" customHeight="1" x14ac:dyDescent="0.15">
      <c r="A249" s="13">
        <v>7</v>
      </c>
      <c r="B249" s="14">
        <v>2</v>
      </c>
      <c r="C249" s="15">
        <v>11</v>
      </c>
      <c r="D249" s="16" t="str">
        <f t="shared" si="3"/>
        <v>7211</v>
      </c>
      <c r="E249" s="17" t="s">
        <v>280</v>
      </c>
      <c r="F249" s="20">
        <v>21</v>
      </c>
      <c r="G249" s="19"/>
      <c r="H249" s="19"/>
    </row>
    <row r="250" spans="1:8" ht="28.25" customHeight="1" x14ac:dyDescent="0.15">
      <c r="A250" s="13">
        <v>7</v>
      </c>
      <c r="B250" s="14">
        <v>2</v>
      </c>
      <c r="C250" s="15">
        <v>12</v>
      </c>
      <c r="D250" s="16" t="str">
        <f t="shared" si="3"/>
        <v>7212</v>
      </c>
      <c r="E250" s="17" t="s">
        <v>281</v>
      </c>
      <c r="F250" s="20">
        <v>26</v>
      </c>
      <c r="G250" s="19"/>
      <c r="H250" s="19"/>
    </row>
    <row r="251" spans="1:8" ht="28.25" customHeight="1" x14ac:dyDescent="0.15">
      <c r="A251" s="13">
        <v>7</v>
      </c>
      <c r="B251" s="14">
        <v>2</v>
      </c>
      <c r="C251" s="15">
        <v>13</v>
      </c>
      <c r="D251" s="16" t="str">
        <f t="shared" si="3"/>
        <v>7213</v>
      </c>
      <c r="E251" s="17" t="s">
        <v>282</v>
      </c>
      <c r="F251" s="20">
        <v>43</v>
      </c>
      <c r="G251" s="19"/>
      <c r="H251" s="19"/>
    </row>
    <row r="252" spans="1:8" ht="28.25" customHeight="1" x14ac:dyDescent="0.15">
      <c r="A252" s="13">
        <v>7</v>
      </c>
      <c r="B252" s="14">
        <v>2</v>
      </c>
      <c r="C252" s="15">
        <v>14</v>
      </c>
      <c r="D252" s="16" t="str">
        <f t="shared" si="3"/>
        <v>7214</v>
      </c>
      <c r="E252" s="17" t="s">
        <v>283</v>
      </c>
      <c r="F252" s="20">
        <v>21</v>
      </c>
      <c r="G252" s="19"/>
      <c r="H252" s="19"/>
    </row>
    <row r="253" spans="1:8" ht="28.25" customHeight="1" x14ac:dyDescent="0.15">
      <c r="A253" s="13">
        <v>7</v>
      </c>
      <c r="B253" s="14">
        <v>2</v>
      </c>
      <c r="C253" s="15">
        <v>15</v>
      </c>
      <c r="D253" s="16" t="str">
        <f t="shared" si="3"/>
        <v>7215</v>
      </c>
      <c r="E253" s="17" t="s">
        <v>284</v>
      </c>
      <c r="F253" s="18">
        <v>29.25</v>
      </c>
      <c r="G253" s="19"/>
      <c r="H253" s="19"/>
    </row>
    <row r="254" spans="1:8" ht="28.25" customHeight="1" x14ac:dyDescent="0.15">
      <c r="A254" s="13">
        <v>7</v>
      </c>
      <c r="B254" s="14">
        <v>2</v>
      </c>
      <c r="C254" s="15">
        <v>16</v>
      </c>
      <c r="D254" s="16" t="str">
        <f t="shared" si="3"/>
        <v>7216</v>
      </c>
      <c r="E254" s="17" t="s">
        <v>285</v>
      </c>
      <c r="F254" s="18">
        <v>25.05</v>
      </c>
      <c r="G254" s="19"/>
      <c r="H254" s="19"/>
    </row>
    <row r="255" spans="1:8" ht="28.25" customHeight="1" x14ac:dyDescent="0.15">
      <c r="A255" s="13">
        <v>7</v>
      </c>
      <c r="B255" s="14">
        <v>2</v>
      </c>
      <c r="C255" s="15">
        <v>17</v>
      </c>
      <c r="D255" s="16" t="str">
        <f t="shared" si="3"/>
        <v>7217</v>
      </c>
      <c r="E255" s="17" t="s">
        <v>286</v>
      </c>
      <c r="F255" s="18">
        <v>38.99</v>
      </c>
      <c r="G255" s="19"/>
      <c r="H255" s="19"/>
    </row>
    <row r="256" spans="1:8" ht="28.25" customHeight="1" x14ac:dyDescent="0.15">
      <c r="A256" s="13">
        <v>7</v>
      </c>
      <c r="B256" s="14">
        <v>2</v>
      </c>
      <c r="C256" s="15">
        <v>18</v>
      </c>
      <c r="D256" s="16" t="str">
        <f t="shared" si="3"/>
        <v>7218</v>
      </c>
      <c r="E256" s="17" t="s">
        <v>287</v>
      </c>
      <c r="F256" s="20">
        <v>31.5</v>
      </c>
      <c r="G256" s="19"/>
      <c r="H256" s="19"/>
    </row>
    <row r="257" spans="1:8" ht="28.25" customHeight="1" x14ac:dyDescent="0.15">
      <c r="A257" s="13">
        <v>7</v>
      </c>
      <c r="B257" s="14">
        <v>2</v>
      </c>
      <c r="C257" s="15">
        <v>19</v>
      </c>
      <c r="D257" s="16" t="str">
        <f t="shared" si="3"/>
        <v>7219</v>
      </c>
      <c r="E257" s="17" t="s">
        <v>288</v>
      </c>
      <c r="F257" s="20">
        <v>22</v>
      </c>
      <c r="G257" s="19"/>
      <c r="H257" s="19"/>
    </row>
    <row r="258" spans="1:8" ht="28.25" customHeight="1" x14ac:dyDescent="0.15">
      <c r="A258" s="13">
        <v>7</v>
      </c>
      <c r="B258" s="14">
        <v>2</v>
      </c>
      <c r="C258" s="15">
        <v>20</v>
      </c>
      <c r="D258" s="16" t="str">
        <f t="shared" ref="D258:D321" si="4">CONCATENATE(A258,B258,C258)</f>
        <v>7220</v>
      </c>
      <c r="E258" s="17" t="s">
        <v>289</v>
      </c>
      <c r="F258" s="20">
        <v>15</v>
      </c>
      <c r="G258" s="19"/>
      <c r="H258" s="19"/>
    </row>
    <row r="259" spans="1:8" ht="28.25" customHeight="1" x14ac:dyDescent="0.15">
      <c r="A259" s="13">
        <v>7</v>
      </c>
      <c r="B259" s="14">
        <v>3</v>
      </c>
      <c r="C259" s="15">
        <v>1</v>
      </c>
      <c r="D259" s="16" t="str">
        <f t="shared" si="4"/>
        <v>731</v>
      </c>
      <c r="E259" s="17" t="s">
        <v>290</v>
      </c>
      <c r="F259" s="20">
        <v>7.5</v>
      </c>
      <c r="G259" s="19"/>
      <c r="H259" s="19"/>
    </row>
    <row r="260" spans="1:8" ht="42.5" customHeight="1" x14ac:dyDescent="0.15">
      <c r="A260" s="13">
        <v>7</v>
      </c>
      <c r="B260" s="14">
        <v>3</v>
      </c>
      <c r="C260" s="15">
        <v>2</v>
      </c>
      <c r="D260" s="16" t="str">
        <f t="shared" si="4"/>
        <v>732</v>
      </c>
      <c r="E260" s="17" t="s">
        <v>291</v>
      </c>
      <c r="F260" s="20">
        <v>15</v>
      </c>
      <c r="G260" s="19"/>
      <c r="H260" s="19"/>
    </row>
    <row r="261" spans="1:8" ht="28.25" customHeight="1" x14ac:dyDescent="0.15">
      <c r="A261" s="13">
        <v>7</v>
      </c>
      <c r="B261" s="14">
        <v>3</v>
      </c>
      <c r="C261" s="15">
        <v>3</v>
      </c>
      <c r="D261" s="16" t="str">
        <f t="shared" si="4"/>
        <v>733</v>
      </c>
      <c r="E261" s="17" t="s">
        <v>292</v>
      </c>
      <c r="F261" s="20">
        <v>36</v>
      </c>
      <c r="G261" s="19"/>
      <c r="H261" s="19"/>
    </row>
    <row r="262" spans="1:8" ht="17.5" customHeight="1" x14ac:dyDescent="0.15">
      <c r="A262" s="13">
        <v>7</v>
      </c>
      <c r="B262" s="14">
        <v>3</v>
      </c>
      <c r="C262" s="15">
        <v>4</v>
      </c>
      <c r="D262" s="16" t="str">
        <f t="shared" si="4"/>
        <v>734</v>
      </c>
      <c r="E262" s="17" t="s">
        <v>293</v>
      </c>
      <c r="F262" s="18">
        <v>14.51</v>
      </c>
      <c r="G262" s="19"/>
      <c r="H262" s="19"/>
    </row>
    <row r="263" spans="1:8" ht="28.25" customHeight="1" x14ac:dyDescent="0.15">
      <c r="A263" s="13">
        <v>7</v>
      </c>
      <c r="B263" s="14">
        <v>3</v>
      </c>
      <c r="C263" s="15">
        <v>5</v>
      </c>
      <c r="D263" s="16" t="str">
        <f t="shared" si="4"/>
        <v>735</v>
      </c>
      <c r="E263" s="17" t="s">
        <v>294</v>
      </c>
      <c r="F263" s="20">
        <v>70</v>
      </c>
      <c r="G263" s="19"/>
      <c r="H263" s="19"/>
    </row>
    <row r="264" spans="1:8" ht="17.5" customHeight="1" x14ac:dyDescent="0.15">
      <c r="A264" s="13">
        <v>8</v>
      </c>
      <c r="B264" s="14">
        <v>1</v>
      </c>
      <c r="C264" s="15">
        <v>1</v>
      </c>
      <c r="D264" s="16" t="str">
        <f t="shared" si="4"/>
        <v>811</v>
      </c>
      <c r="E264" s="17" t="s">
        <v>295</v>
      </c>
      <c r="F264" s="20">
        <v>250</v>
      </c>
      <c r="G264" s="19"/>
      <c r="H264" s="19"/>
    </row>
    <row r="265" spans="1:8" ht="17.5" customHeight="1" x14ac:dyDescent="0.15">
      <c r="A265" s="13">
        <v>8</v>
      </c>
      <c r="B265" s="14">
        <v>1</v>
      </c>
      <c r="C265" s="15">
        <v>2</v>
      </c>
      <c r="D265" s="16" t="str">
        <f t="shared" si="4"/>
        <v>812</v>
      </c>
      <c r="E265" s="17" t="s">
        <v>296</v>
      </c>
      <c r="F265" s="20">
        <v>300</v>
      </c>
      <c r="G265" s="19"/>
      <c r="H265" s="19"/>
    </row>
    <row r="266" spans="1:8" ht="56.5" customHeight="1" x14ac:dyDescent="0.15">
      <c r="A266" s="13">
        <v>8</v>
      </c>
      <c r="B266" s="14">
        <v>1</v>
      </c>
      <c r="C266" s="15">
        <v>3</v>
      </c>
      <c r="D266" s="16" t="str">
        <f t="shared" si="4"/>
        <v>813</v>
      </c>
      <c r="E266" s="17" t="s">
        <v>297</v>
      </c>
      <c r="F266" s="20">
        <v>210</v>
      </c>
      <c r="G266" s="19"/>
      <c r="H266" s="19"/>
    </row>
    <row r="267" spans="1:8" ht="56.5" customHeight="1" x14ac:dyDescent="0.15">
      <c r="A267" s="13">
        <v>8</v>
      </c>
      <c r="B267" s="14">
        <v>1</v>
      </c>
      <c r="C267" s="15">
        <v>4</v>
      </c>
      <c r="D267" s="16" t="str">
        <f t="shared" si="4"/>
        <v>814</v>
      </c>
      <c r="E267" s="17" t="s">
        <v>298</v>
      </c>
      <c r="F267" s="20">
        <v>295</v>
      </c>
      <c r="G267" s="19"/>
      <c r="H267" s="19"/>
    </row>
    <row r="268" spans="1:8" ht="17.5" customHeight="1" x14ac:dyDescent="0.15">
      <c r="A268" s="13">
        <v>8</v>
      </c>
      <c r="B268" s="14">
        <v>1</v>
      </c>
      <c r="C268" s="15">
        <v>5</v>
      </c>
      <c r="D268" s="16" t="str">
        <f t="shared" si="4"/>
        <v>815</v>
      </c>
      <c r="E268" s="17" t="s">
        <v>223</v>
      </c>
      <c r="F268" s="20">
        <v>74</v>
      </c>
      <c r="G268" s="19"/>
      <c r="H268" s="19"/>
    </row>
    <row r="269" spans="1:8" ht="17.5" customHeight="1" x14ac:dyDescent="0.15">
      <c r="A269" s="13">
        <v>8</v>
      </c>
      <c r="B269" s="14">
        <v>1</v>
      </c>
      <c r="C269" s="15">
        <v>6</v>
      </c>
      <c r="D269" s="16" t="str">
        <f t="shared" si="4"/>
        <v>816</v>
      </c>
      <c r="E269" s="17" t="s">
        <v>299</v>
      </c>
      <c r="F269" s="20">
        <v>74</v>
      </c>
      <c r="G269" s="19"/>
      <c r="H269" s="19"/>
    </row>
    <row r="270" spans="1:8" ht="42.5" customHeight="1" x14ac:dyDescent="0.15">
      <c r="A270" s="13">
        <v>8</v>
      </c>
      <c r="B270" s="14">
        <v>1</v>
      </c>
      <c r="C270" s="15">
        <v>7</v>
      </c>
      <c r="D270" s="16" t="str">
        <f t="shared" si="4"/>
        <v>817</v>
      </c>
      <c r="E270" s="17" t="s">
        <v>300</v>
      </c>
      <c r="F270" s="18">
        <v>32.979999999999997</v>
      </c>
      <c r="G270" s="19"/>
      <c r="H270" s="19"/>
    </row>
    <row r="271" spans="1:8" ht="17.5" customHeight="1" x14ac:dyDescent="0.15">
      <c r="A271" s="13">
        <v>8</v>
      </c>
      <c r="B271" s="14">
        <v>1</v>
      </c>
      <c r="C271" s="15">
        <v>8</v>
      </c>
      <c r="D271" s="16" t="str">
        <f t="shared" si="4"/>
        <v>818</v>
      </c>
      <c r="E271" s="17" t="s">
        <v>301</v>
      </c>
      <c r="F271" s="20">
        <v>60</v>
      </c>
      <c r="G271" s="19"/>
      <c r="H271" s="19"/>
    </row>
    <row r="272" spans="1:8" ht="42.5" customHeight="1" x14ac:dyDescent="0.15">
      <c r="A272" s="15">
        <v>9</v>
      </c>
      <c r="B272" s="15">
        <v>1</v>
      </c>
      <c r="C272" s="15">
        <v>1</v>
      </c>
      <c r="D272" s="16" t="str">
        <f t="shared" si="4"/>
        <v>911</v>
      </c>
      <c r="E272" s="17" t="s">
        <v>302</v>
      </c>
      <c r="F272" s="18">
        <v>18.05</v>
      </c>
      <c r="G272" s="19"/>
      <c r="H272" s="19"/>
    </row>
    <row r="273" spans="1:8" ht="17.5" customHeight="1" x14ac:dyDescent="0.15">
      <c r="A273" s="15">
        <v>9</v>
      </c>
      <c r="B273" s="15">
        <v>1</v>
      </c>
      <c r="C273" s="15">
        <v>2</v>
      </c>
      <c r="D273" s="16" t="str">
        <f t="shared" si="4"/>
        <v>912</v>
      </c>
      <c r="E273" s="17" t="s">
        <v>303</v>
      </c>
      <c r="F273" s="18">
        <v>38.76</v>
      </c>
      <c r="G273" s="19"/>
      <c r="H273" s="19"/>
    </row>
    <row r="274" spans="1:8" ht="17.5" customHeight="1" x14ac:dyDescent="0.15">
      <c r="A274" s="15">
        <v>9</v>
      </c>
      <c r="B274" s="15">
        <v>1</v>
      </c>
      <c r="C274" s="15">
        <v>3</v>
      </c>
      <c r="D274" s="16" t="str">
        <f t="shared" si="4"/>
        <v>913</v>
      </c>
      <c r="E274" s="17" t="s">
        <v>304</v>
      </c>
      <c r="F274" s="20">
        <v>34.6</v>
      </c>
      <c r="G274" s="19"/>
      <c r="H274" s="19"/>
    </row>
    <row r="275" spans="1:8" ht="17.5" customHeight="1" x14ac:dyDescent="0.15">
      <c r="A275" s="15">
        <v>9</v>
      </c>
      <c r="B275" s="15">
        <v>1</v>
      </c>
      <c r="C275" s="15">
        <v>4</v>
      </c>
      <c r="D275" s="16" t="str">
        <f t="shared" si="4"/>
        <v>914</v>
      </c>
      <c r="E275" s="17" t="s">
        <v>305</v>
      </c>
      <c r="F275" s="18">
        <v>24.91</v>
      </c>
      <c r="G275" s="19"/>
      <c r="H275" s="19"/>
    </row>
    <row r="276" spans="1:8" ht="17.5" customHeight="1" x14ac:dyDescent="0.15">
      <c r="A276" s="15">
        <v>9</v>
      </c>
      <c r="B276" s="15">
        <v>1</v>
      </c>
      <c r="C276" s="15">
        <v>5</v>
      </c>
      <c r="D276" s="16" t="str">
        <f t="shared" si="4"/>
        <v>915</v>
      </c>
      <c r="E276" s="17" t="s">
        <v>306</v>
      </c>
      <c r="F276" s="18">
        <v>9.42</v>
      </c>
      <c r="G276" s="19"/>
      <c r="H276" s="19"/>
    </row>
    <row r="277" spans="1:8" ht="28.25" customHeight="1" x14ac:dyDescent="0.15">
      <c r="A277" s="15">
        <v>9</v>
      </c>
      <c r="B277" s="15">
        <v>2</v>
      </c>
      <c r="C277" s="15">
        <v>1</v>
      </c>
      <c r="D277" s="16" t="str">
        <f t="shared" si="4"/>
        <v>921</v>
      </c>
      <c r="E277" s="17" t="s">
        <v>307</v>
      </c>
      <c r="F277" s="18">
        <v>51.21</v>
      </c>
      <c r="G277" s="19"/>
      <c r="H277" s="19"/>
    </row>
    <row r="278" spans="1:8" ht="28.25" customHeight="1" x14ac:dyDescent="0.15">
      <c r="A278" s="15">
        <v>9</v>
      </c>
      <c r="B278" s="15">
        <v>2</v>
      </c>
      <c r="C278" s="15">
        <v>2</v>
      </c>
      <c r="D278" s="16" t="str">
        <f t="shared" si="4"/>
        <v>922</v>
      </c>
      <c r="E278" s="17" t="s">
        <v>308</v>
      </c>
      <c r="F278" s="18">
        <v>60.56</v>
      </c>
      <c r="G278" s="19"/>
      <c r="H278" s="19"/>
    </row>
    <row r="279" spans="1:8" ht="17.5" customHeight="1" x14ac:dyDescent="0.15">
      <c r="A279" s="15">
        <v>9</v>
      </c>
      <c r="B279" s="15">
        <v>2</v>
      </c>
      <c r="C279" s="15">
        <v>3</v>
      </c>
      <c r="D279" s="16" t="str">
        <f t="shared" si="4"/>
        <v>923</v>
      </c>
      <c r="E279" s="17" t="s">
        <v>309</v>
      </c>
      <c r="F279" s="18">
        <v>50.42</v>
      </c>
      <c r="G279" s="19"/>
      <c r="H279" s="19"/>
    </row>
    <row r="280" spans="1:8" ht="17.5" customHeight="1" x14ac:dyDescent="0.15">
      <c r="A280" s="15">
        <v>9</v>
      </c>
      <c r="B280" s="15">
        <v>2</v>
      </c>
      <c r="C280" s="15">
        <v>4</v>
      </c>
      <c r="D280" s="16" t="str">
        <f t="shared" si="4"/>
        <v>924</v>
      </c>
      <c r="E280" s="17" t="s">
        <v>310</v>
      </c>
      <c r="F280" s="18">
        <v>37.08</v>
      </c>
      <c r="G280" s="19"/>
      <c r="H280" s="19"/>
    </row>
    <row r="281" spans="1:8" ht="17.5" customHeight="1" x14ac:dyDescent="0.15">
      <c r="A281" s="15">
        <v>9</v>
      </c>
      <c r="B281" s="15">
        <v>2</v>
      </c>
      <c r="C281" s="15">
        <v>5</v>
      </c>
      <c r="D281" s="16" t="str">
        <f t="shared" si="4"/>
        <v>925</v>
      </c>
      <c r="E281" s="17" t="s">
        <v>311</v>
      </c>
      <c r="F281" s="18">
        <v>13.83</v>
      </c>
      <c r="G281" s="19"/>
      <c r="H281" s="19"/>
    </row>
    <row r="282" spans="1:8" ht="28.25" customHeight="1" x14ac:dyDescent="0.15">
      <c r="A282" s="15">
        <v>9</v>
      </c>
      <c r="B282" s="15">
        <v>2</v>
      </c>
      <c r="C282" s="15">
        <v>6</v>
      </c>
      <c r="D282" s="16" t="str">
        <f t="shared" si="4"/>
        <v>926</v>
      </c>
      <c r="E282" s="17" t="s">
        <v>312</v>
      </c>
      <c r="F282" s="18">
        <v>22.15</v>
      </c>
      <c r="G282" s="19"/>
      <c r="H282" s="19"/>
    </row>
    <row r="283" spans="1:8" ht="28.25" customHeight="1" x14ac:dyDescent="0.15">
      <c r="A283" s="15">
        <v>9</v>
      </c>
      <c r="B283" s="15">
        <v>2</v>
      </c>
      <c r="C283" s="15">
        <v>7</v>
      </c>
      <c r="D283" s="16" t="str">
        <f t="shared" si="4"/>
        <v>927</v>
      </c>
      <c r="E283" s="17" t="s">
        <v>313</v>
      </c>
      <c r="F283" s="18">
        <v>18.54</v>
      </c>
      <c r="G283" s="19"/>
      <c r="H283" s="19"/>
    </row>
    <row r="284" spans="1:8" ht="28.25" customHeight="1" x14ac:dyDescent="0.15">
      <c r="A284" s="15">
        <v>9</v>
      </c>
      <c r="B284" s="15">
        <v>3</v>
      </c>
      <c r="C284" s="15">
        <v>1</v>
      </c>
      <c r="D284" s="16" t="str">
        <f t="shared" si="4"/>
        <v>931</v>
      </c>
      <c r="E284" s="17" t="s">
        <v>314</v>
      </c>
      <c r="F284" s="20">
        <v>315</v>
      </c>
      <c r="G284" s="19"/>
      <c r="H284" s="19"/>
    </row>
    <row r="285" spans="1:8" ht="28.25" customHeight="1" x14ac:dyDescent="0.15">
      <c r="A285" s="15">
        <v>9</v>
      </c>
      <c r="B285" s="15">
        <v>3</v>
      </c>
      <c r="C285" s="15">
        <v>2</v>
      </c>
      <c r="D285" s="16" t="str">
        <f t="shared" si="4"/>
        <v>932</v>
      </c>
      <c r="E285" s="17" t="s">
        <v>315</v>
      </c>
      <c r="F285" s="20">
        <v>15</v>
      </c>
      <c r="G285" s="19"/>
      <c r="H285" s="19"/>
    </row>
    <row r="286" spans="1:8" ht="42.5" customHeight="1" x14ac:dyDescent="0.15">
      <c r="A286" s="15">
        <v>9</v>
      </c>
      <c r="B286" s="15">
        <v>3</v>
      </c>
      <c r="C286" s="15">
        <v>3</v>
      </c>
      <c r="D286" s="16" t="str">
        <f t="shared" si="4"/>
        <v>933</v>
      </c>
      <c r="E286" s="17" t="s">
        <v>316</v>
      </c>
      <c r="F286" s="20">
        <v>17.3</v>
      </c>
      <c r="G286" s="19"/>
      <c r="H286" s="19"/>
    </row>
    <row r="287" spans="1:8" ht="28.25" customHeight="1" x14ac:dyDescent="0.15">
      <c r="A287" s="15">
        <v>9</v>
      </c>
      <c r="B287" s="15">
        <v>3</v>
      </c>
      <c r="C287" s="15">
        <v>4</v>
      </c>
      <c r="D287" s="16" t="str">
        <f t="shared" si="4"/>
        <v>934</v>
      </c>
      <c r="E287" s="17" t="s">
        <v>317</v>
      </c>
      <c r="F287" s="20">
        <v>21</v>
      </c>
      <c r="G287" s="19"/>
      <c r="H287" s="19"/>
    </row>
    <row r="288" spans="1:8" ht="42.5" customHeight="1" x14ac:dyDescent="0.15">
      <c r="A288" s="15">
        <v>9</v>
      </c>
      <c r="B288" s="15">
        <v>3</v>
      </c>
      <c r="C288" s="15">
        <v>5</v>
      </c>
      <c r="D288" s="16" t="str">
        <f t="shared" si="4"/>
        <v>935</v>
      </c>
      <c r="E288" s="17" t="s">
        <v>318</v>
      </c>
      <c r="F288" s="20">
        <v>24</v>
      </c>
      <c r="G288" s="19"/>
      <c r="H288" s="19"/>
    </row>
    <row r="289" spans="1:8" ht="42.5" customHeight="1" x14ac:dyDescent="0.15">
      <c r="A289" s="15">
        <v>9</v>
      </c>
      <c r="B289" s="15">
        <v>3</v>
      </c>
      <c r="C289" s="15">
        <v>6</v>
      </c>
      <c r="D289" s="16" t="str">
        <f t="shared" si="4"/>
        <v>936</v>
      </c>
      <c r="E289" s="17" t="s">
        <v>319</v>
      </c>
      <c r="F289" s="18">
        <v>8.2899999999999991</v>
      </c>
      <c r="G289" s="19"/>
      <c r="H289" s="19"/>
    </row>
    <row r="290" spans="1:8" ht="17.5" customHeight="1" x14ac:dyDescent="0.15">
      <c r="A290" s="15">
        <v>9</v>
      </c>
      <c r="B290" s="15">
        <v>3</v>
      </c>
      <c r="C290" s="15">
        <v>7</v>
      </c>
      <c r="D290" s="16" t="str">
        <f t="shared" si="4"/>
        <v>937</v>
      </c>
      <c r="E290" s="17" t="s">
        <v>320</v>
      </c>
      <c r="F290" s="18">
        <v>2.76</v>
      </c>
      <c r="G290" s="19"/>
      <c r="H290" s="19"/>
    </row>
    <row r="291" spans="1:8" ht="17.5" customHeight="1" x14ac:dyDescent="0.15">
      <c r="A291" s="15">
        <v>9</v>
      </c>
      <c r="B291" s="15">
        <v>3</v>
      </c>
      <c r="C291" s="15">
        <v>8</v>
      </c>
      <c r="D291" s="16" t="str">
        <f t="shared" si="4"/>
        <v>938</v>
      </c>
      <c r="E291" s="17" t="s">
        <v>321</v>
      </c>
      <c r="F291" s="18">
        <v>4.71</v>
      </c>
      <c r="G291" s="19"/>
      <c r="H291" s="19"/>
    </row>
    <row r="292" spans="1:8" ht="42.5" customHeight="1" x14ac:dyDescent="0.15">
      <c r="A292" s="15">
        <v>9</v>
      </c>
      <c r="B292" s="15">
        <v>3</v>
      </c>
      <c r="C292" s="15">
        <v>9</v>
      </c>
      <c r="D292" s="16" t="str">
        <f t="shared" si="4"/>
        <v>939</v>
      </c>
      <c r="E292" s="17" t="s">
        <v>322</v>
      </c>
      <c r="F292" s="18">
        <v>11.07</v>
      </c>
      <c r="G292" s="19"/>
      <c r="H292" s="19"/>
    </row>
    <row r="293" spans="1:8" ht="17.5" customHeight="1" x14ac:dyDescent="0.15">
      <c r="A293" s="15">
        <v>9</v>
      </c>
      <c r="B293" s="15">
        <v>3</v>
      </c>
      <c r="C293" s="15">
        <v>10</v>
      </c>
      <c r="D293" s="16" t="str">
        <f t="shared" si="4"/>
        <v>9310</v>
      </c>
      <c r="E293" s="17" t="s">
        <v>323</v>
      </c>
      <c r="F293" s="18">
        <v>3.53</v>
      </c>
      <c r="G293" s="19"/>
      <c r="H293" s="19"/>
    </row>
    <row r="294" spans="1:8" ht="17.5" customHeight="1" x14ac:dyDescent="0.15">
      <c r="A294" s="15">
        <v>9</v>
      </c>
      <c r="B294" s="15">
        <v>3</v>
      </c>
      <c r="C294" s="15">
        <v>11</v>
      </c>
      <c r="D294" s="16" t="str">
        <f t="shared" si="4"/>
        <v>9311</v>
      </c>
      <c r="E294" s="17" t="s">
        <v>324</v>
      </c>
      <c r="F294" s="18">
        <v>3.53</v>
      </c>
      <c r="G294" s="19"/>
      <c r="H294" s="19"/>
    </row>
    <row r="295" spans="1:8" ht="28.25" customHeight="1" x14ac:dyDescent="0.15">
      <c r="A295" s="15">
        <v>9</v>
      </c>
      <c r="B295" s="15">
        <v>3</v>
      </c>
      <c r="C295" s="15">
        <v>12</v>
      </c>
      <c r="D295" s="16" t="str">
        <f t="shared" si="4"/>
        <v>9312</v>
      </c>
      <c r="E295" s="17" t="s">
        <v>325</v>
      </c>
      <c r="F295" s="18">
        <v>8.24</v>
      </c>
      <c r="G295" s="19"/>
      <c r="H295" s="19"/>
    </row>
    <row r="296" spans="1:8" ht="28.25" customHeight="1" x14ac:dyDescent="0.15">
      <c r="A296" s="15">
        <v>9</v>
      </c>
      <c r="B296" s="15">
        <v>3</v>
      </c>
      <c r="C296" s="15">
        <v>13</v>
      </c>
      <c r="D296" s="16" t="str">
        <f t="shared" si="4"/>
        <v>9313</v>
      </c>
      <c r="E296" s="17" t="s">
        <v>326</v>
      </c>
      <c r="F296" s="18">
        <v>9.74</v>
      </c>
      <c r="G296" s="19"/>
      <c r="H296" s="19"/>
    </row>
    <row r="297" spans="1:8" ht="28.25" customHeight="1" x14ac:dyDescent="0.15">
      <c r="A297" s="15">
        <v>9</v>
      </c>
      <c r="B297" s="15">
        <v>3</v>
      </c>
      <c r="C297" s="15">
        <v>14</v>
      </c>
      <c r="D297" s="16" t="str">
        <f t="shared" si="4"/>
        <v>9314</v>
      </c>
      <c r="E297" s="17" t="s">
        <v>327</v>
      </c>
      <c r="F297" s="18">
        <v>11.23</v>
      </c>
      <c r="G297" s="19"/>
      <c r="H297" s="19"/>
    </row>
    <row r="298" spans="1:8" ht="17.5" customHeight="1" x14ac:dyDescent="0.15">
      <c r="A298" s="15">
        <v>9</v>
      </c>
      <c r="B298" s="15">
        <v>3</v>
      </c>
      <c r="C298" s="15">
        <v>15</v>
      </c>
      <c r="D298" s="16" t="str">
        <f t="shared" si="4"/>
        <v>9315</v>
      </c>
      <c r="E298" s="17" t="s">
        <v>328</v>
      </c>
      <c r="F298" s="18">
        <v>30.61</v>
      </c>
      <c r="G298" s="19"/>
      <c r="H298" s="19"/>
    </row>
    <row r="299" spans="1:8" ht="17.5" customHeight="1" x14ac:dyDescent="0.15">
      <c r="A299" s="15">
        <v>9</v>
      </c>
      <c r="B299" s="15">
        <v>3</v>
      </c>
      <c r="C299" s="15">
        <v>16</v>
      </c>
      <c r="D299" s="16" t="str">
        <f t="shared" si="4"/>
        <v>9316</v>
      </c>
      <c r="E299" s="17" t="s">
        <v>329</v>
      </c>
      <c r="F299" s="18">
        <v>31.79</v>
      </c>
      <c r="G299" s="19"/>
      <c r="H299" s="19"/>
    </row>
    <row r="300" spans="1:8" ht="17.5" customHeight="1" x14ac:dyDescent="0.15">
      <c r="A300" s="15">
        <v>9</v>
      </c>
      <c r="B300" s="15">
        <v>3</v>
      </c>
      <c r="C300" s="15">
        <v>17</v>
      </c>
      <c r="D300" s="16" t="str">
        <f t="shared" si="4"/>
        <v>9317</v>
      </c>
      <c r="E300" s="17" t="s">
        <v>330</v>
      </c>
      <c r="F300" s="18">
        <v>19.829999999999998</v>
      </c>
      <c r="G300" s="19"/>
      <c r="H300" s="19"/>
    </row>
    <row r="301" spans="1:8" ht="17.5" customHeight="1" x14ac:dyDescent="0.15">
      <c r="A301" s="15">
        <v>9</v>
      </c>
      <c r="B301" s="15">
        <v>3</v>
      </c>
      <c r="C301" s="15">
        <v>18</v>
      </c>
      <c r="D301" s="16" t="str">
        <f t="shared" si="4"/>
        <v>9318</v>
      </c>
      <c r="E301" s="17" t="s">
        <v>331</v>
      </c>
      <c r="F301" s="18">
        <v>35.28</v>
      </c>
      <c r="G301" s="19"/>
      <c r="H301" s="19"/>
    </row>
    <row r="302" spans="1:8" ht="70.25" customHeight="1" x14ac:dyDescent="0.15">
      <c r="A302" s="47" t="s">
        <v>332</v>
      </c>
      <c r="B302" s="14">
        <v>1</v>
      </c>
      <c r="C302" s="15">
        <v>1</v>
      </c>
      <c r="D302" s="16" t="str">
        <f t="shared" si="4"/>
        <v>10.11</v>
      </c>
      <c r="E302" s="17" t="s">
        <v>333</v>
      </c>
      <c r="F302" s="20">
        <v>319</v>
      </c>
      <c r="G302" s="19"/>
      <c r="H302" s="19"/>
    </row>
    <row r="303" spans="1:8" ht="70.25" customHeight="1" x14ac:dyDescent="0.15">
      <c r="A303" s="47" t="s">
        <v>332</v>
      </c>
      <c r="B303" s="14">
        <v>1</v>
      </c>
      <c r="C303" s="15">
        <v>2</v>
      </c>
      <c r="D303" s="16" t="str">
        <f t="shared" si="4"/>
        <v>10.12</v>
      </c>
      <c r="E303" s="17" t="s">
        <v>334</v>
      </c>
      <c r="F303" s="20">
        <v>356</v>
      </c>
      <c r="G303" s="19"/>
      <c r="H303" s="19"/>
    </row>
    <row r="304" spans="1:8" ht="70.25" customHeight="1" x14ac:dyDescent="0.15">
      <c r="A304" s="47" t="s">
        <v>332</v>
      </c>
      <c r="B304" s="14">
        <v>1</v>
      </c>
      <c r="C304" s="15">
        <v>3</v>
      </c>
      <c r="D304" s="16" t="str">
        <f t="shared" si="4"/>
        <v>10.13</v>
      </c>
      <c r="E304" s="17" t="s">
        <v>335</v>
      </c>
      <c r="F304" s="20">
        <v>419</v>
      </c>
      <c r="G304" s="19"/>
      <c r="H304" s="19"/>
    </row>
    <row r="305" spans="1:8" ht="42.5" customHeight="1" x14ac:dyDescent="0.15">
      <c r="A305" s="47" t="s">
        <v>332</v>
      </c>
      <c r="B305" s="14">
        <v>1</v>
      </c>
      <c r="C305" s="15">
        <v>4</v>
      </c>
      <c r="D305" s="16" t="str">
        <f t="shared" si="4"/>
        <v>10.14</v>
      </c>
      <c r="E305" s="17" t="s">
        <v>336</v>
      </c>
      <c r="F305" s="18">
        <v>60.75</v>
      </c>
      <c r="G305" s="19"/>
      <c r="H305" s="19"/>
    </row>
    <row r="306" spans="1:8" ht="42.5" customHeight="1" x14ac:dyDescent="0.15">
      <c r="A306" s="47" t="s">
        <v>332</v>
      </c>
      <c r="B306" s="14">
        <v>1</v>
      </c>
      <c r="C306" s="15">
        <v>5</v>
      </c>
      <c r="D306" s="16" t="str">
        <f t="shared" si="4"/>
        <v>10.15</v>
      </c>
      <c r="E306" s="17" t="s">
        <v>337</v>
      </c>
      <c r="F306" s="18">
        <v>137.05000000000001</v>
      </c>
      <c r="G306" s="19"/>
      <c r="H306" s="19"/>
    </row>
    <row r="307" spans="1:8" ht="56.5" customHeight="1" x14ac:dyDescent="0.15">
      <c r="A307" s="47" t="s">
        <v>332</v>
      </c>
      <c r="B307" s="14">
        <v>1</v>
      </c>
      <c r="C307" s="15">
        <v>6</v>
      </c>
      <c r="D307" s="16" t="str">
        <f t="shared" si="4"/>
        <v>10.16</v>
      </c>
      <c r="E307" s="17" t="s">
        <v>338</v>
      </c>
      <c r="F307" s="18">
        <v>288.48</v>
      </c>
      <c r="G307" s="19"/>
      <c r="H307" s="19"/>
    </row>
    <row r="308" spans="1:8" ht="70.25" customHeight="1" x14ac:dyDescent="0.15">
      <c r="A308" s="47" t="s">
        <v>332</v>
      </c>
      <c r="B308" s="14">
        <v>1</v>
      </c>
      <c r="C308" s="15">
        <v>7</v>
      </c>
      <c r="D308" s="16" t="str">
        <f t="shared" si="4"/>
        <v>10.17</v>
      </c>
      <c r="E308" s="17" t="s">
        <v>339</v>
      </c>
      <c r="F308" s="18">
        <v>303.08</v>
      </c>
      <c r="G308" s="19"/>
      <c r="H308" s="19"/>
    </row>
    <row r="309" spans="1:8" ht="70.25" customHeight="1" x14ac:dyDescent="0.15">
      <c r="A309" s="47" t="s">
        <v>332</v>
      </c>
      <c r="B309" s="14">
        <v>1</v>
      </c>
      <c r="C309" s="15">
        <v>8</v>
      </c>
      <c r="D309" s="16" t="str">
        <f t="shared" si="4"/>
        <v>10.18</v>
      </c>
      <c r="E309" s="17" t="s">
        <v>340</v>
      </c>
      <c r="F309" s="18">
        <v>317.91000000000003</v>
      </c>
      <c r="G309" s="19"/>
      <c r="H309" s="19"/>
    </row>
    <row r="310" spans="1:8" ht="42.5" customHeight="1" x14ac:dyDescent="0.15">
      <c r="A310" s="47" t="s">
        <v>332</v>
      </c>
      <c r="B310" s="14">
        <v>1</v>
      </c>
      <c r="C310" s="15">
        <v>9</v>
      </c>
      <c r="D310" s="16" t="str">
        <f t="shared" si="4"/>
        <v>10.19</v>
      </c>
      <c r="E310" s="17" t="s">
        <v>341</v>
      </c>
      <c r="F310" s="18">
        <v>57.93</v>
      </c>
      <c r="G310" s="19"/>
      <c r="H310" s="19"/>
    </row>
    <row r="311" spans="1:8" ht="42.5" customHeight="1" x14ac:dyDescent="0.15">
      <c r="A311" s="47" t="s">
        <v>332</v>
      </c>
      <c r="B311" s="14">
        <v>1</v>
      </c>
      <c r="C311" s="15">
        <v>10</v>
      </c>
      <c r="D311" s="16" t="str">
        <f t="shared" si="4"/>
        <v>10.110</v>
      </c>
      <c r="E311" s="17" t="s">
        <v>342</v>
      </c>
      <c r="F311" s="18">
        <v>118.69</v>
      </c>
      <c r="G311" s="19"/>
      <c r="H311" s="19"/>
    </row>
    <row r="312" spans="1:8" ht="70.25" customHeight="1" x14ac:dyDescent="0.15">
      <c r="A312" s="47" t="s">
        <v>332</v>
      </c>
      <c r="B312" s="14">
        <v>1</v>
      </c>
      <c r="C312" s="15">
        <v>11</v>
      </c>
      <c r="D312" s="16" t="str">
        <f t="shared" si="4"/>
        <v>10.111</v>
      </c>
      <c r="E312" s="17" t="s">
        <v>343</v>
      </c>
      <c r="F312" s="20">
        <v>342</v>
      </c>
      <c r="G312" s="19"/>
      <c r="H312" s="19"/>
    </row>
    <row r="313" spans="1:8" ht="70.25" customHeight="1" x14ac:dyDescent="0.15">
      <c r="A313" s="47" t="s">
        <v>332</v>
      </c>
      <c r="B313" s="14">
        <v>1</v>
      </c>
      <c r="C313" s="15">
        <v>12</v>
      </c>
      <c r="D313" s="16" t="str">
        <f t="shared" si="4"/>
        <v>10.112</v>
      </c>
      <c r="E313" s="17" t="s">
        <v>344</v>
      </c>
      <c r="F313" s="20">
        <v>360.5</v>
      </c>
      <c r="G313" s="19"/>
      <c r="H313" s="19"/>
    </row>
    <row r="314" spans="1:8" ht="70.25" customHeight="1" x14ac:dyDescent="0.15">
      <c r="A314" s="47" t="s">
        <v>332</v>
      </c>
      <c r="B314" s="14">
        <v>1</v>
      </c>
      <c r="C314" s="15">
        <v>13</v>
      </c>
      <c r="D314" s="16" t="str">
        <f t="shared" si="4"/>
        <v>10.113</v>
      </c>
      <c r="E314" s="17" t="s">
        <v>345</v>
      </c>
      <c r="F314" s="18">
        <v>419.31</v>
      </c>
      <c r="G314" s="19"/>
      <c r="H314" s="19"/>
    </row>
    <row r="315" spans="1:8" ht="42.5" customHeight="1" x14ac:dyDescent="0.15">
      <c r="A315" s="47" t="s">
        <v>332</v>
      </c>
      <c r="B315" s="14">
        <v>1</v>
      </c>
      <c r="C315" s="15">
        <v>14</v>
      </c>
      <c r="D315" s="16" t="str">
        <f t="shared" si="4"/>
        <v>10.114</v>
      </c>
      <c r="E315" s="17" t="s">
        <v>346</v>
      </c>
      <c r="F315" s="18">
        <v>63.59</v>
      </c>
      <c r="G315" s="19"/>
      <c r="H315" s="19"/>
    </row>
    <row r="316" spans="1:8" ht="42.5" customHeight="1" x14ac:dyDescent="0.15">
      <c r="A316" s="47" t="s">
        <v>332</v>
      </c>
      <c r="B316" s="14">
        <v>1</v>
      </c>
      <c r="C316" s="15">
        <v>15</v>
      </c>
      <c r="D316" s="16" t="str">
        <f t="shared" si="4"/>
        <v>10.115</v>
      </c>
      <c r="E316" s="17" t="s">
        <v>347</v>
      </c>
      <c r="F316" s="18">
        <v>158.29</v>
      </c>
      <c r="G316" s="19"/>
      <c r="H316" s="19"/>
    </row>
    <row r="317" spans="1:8" ht="56.5" customHeight="1" x14ac:dyDescent="0.15">
      <c r="A317" s="47" t="s">
        <v>332</v>
      </c>
      <c r="B317" s="14">
        <v>1</v>
      </c>
      <c r="C317" s="15">
        <v>16</v>
      </c>
      <c r="D317" s="16" t="str">
        <f t="shared" si="4"/>
        <v>10.116</v>
      </c>
      <c r="E317" s="17" t="s">
        <v>348</v>
      </c>
      <c r="F317" s="20">
        <v>407</v>
      </c>
      <c r="G317" s="19"/>
      <c r="H317" s="19"/>
    </row>
    <row r="318" spans="1:8" ht="70.25" customHeight="1" x14ac:dyDescent="0.15">
      <c r="A318" s="47" t="s">
        <v>332</v>
      </c>
      <c r="B318" s="14">
        <v>1</v>
      </c>
      <c r="C318" s="15">
        <v>17</v>
      </c>
      <c r="D318" s="16" t="str">
        <f t="shared" si="4"/>
        <v>10.117</v>
      </c>
      <c r="E318" s="17" t="s">
        <v>349</v>
      </c>
      <c r="F318" s="20">
        <v>407</v>
      </c>
      <c r="G318" s="19"/>
      <c r="H318" s="19"/>
    </row>
    <row r="319" spans="1:8" ht="56.5" customHeight="1" x14ac:dyDescent="0.15">
      <c r="A319" s="47" t="s">
        <v>332</v>
      </c>
      <c r="B319" s="14">
        <v>1</v>
      </c>
      <c r="C319" s="15">
        <v>18</v>
      </c>
      <c r="D319" s="16" t="str">
        <f t="shared" si="4"/>
        <v>10.118</v>
      </c>
      <c r="E319" s="17" t="s">
        <v>350</v>
      </c>
      <c r="F319" s="20">
        <v>407</v>
      </c>
      <c r="G319" s="19"/>
      <c r="H319" s="19"/>
    </row>
    <row r="320" spans="1:8" ht="28.25" customHeight="1" x14ac:dyDescent="0.15">
      <c r="A320" s="47" t="s">
        <v>332</v>
      </c>
      <c r="B320" s="14">
        <v>1</v>
      </c>
      <c r="C320" s="15">
        <v>19</v>
      </c>
      <c r="D320" s="16" t="str">
        <f t="shared" si="4"/>
        <v>10.119</v>
      </c>
      <c r="E320" s="17" t="s">
        <v>351</v>
      </c>
      <c r="F320" s="18">
        <v>63.59</v>
      </c>
      <c r="G320" s="19"/>
      <c r="H320" s="19"/>
    </row>
    <row r="321" spans="1:8" ht="42.5" customHeight="1" x14ac:dyDescent="0.15">
      <c r="A321" s="47" t="s">
        <v>332</v>
      </c>
      <c r="B321" s="14">
        <v>1</v>
      </c>
      <c r="C321" s="15">
        <v>20</v>
      </c>
      <c r="D321" s="16" t="str">
        <f t="shared" si="4"/>
        <v>10.120</v>
      </c>
      <c r="E321" s="17" t="s">
        <v>352</v>
      </c>
      <c r="F321" s="18">
        <v>158.29</v>
      </c>
      <c r="G321" s="19"/>
      <c r="H321" s="19"/>
    </row>
    <row r="322" spans="1:8" ht="84.5" customHeight="1" x14ac:dyDescent="0.15">
      <c r="A322" s="47" t="s">
        <v>332</v>
      </c>
      <c r="B322" s="14">
        <v>2</v>
      </c>
      <c r="C322" s="15">
        <v>1</v>
      </c>
      <c r="D322" s="16" t="str">
        <f t="shared" ref="D322:D385" si="5">CONCATENATE(A322,B322,C322)</f>
        <v>10.21</v>
      </c>
      <c r="E322" s="17" t="s">
        <v>353</v>
      </c>
      <c r="F322" s="20">
        <v>693.2</v>
      </c>
      <c r="G322" s="19"/>
      <c r="H322" s="19"/>
    </row>
    <row r="323" spans="1:8" ht="84.5" customHeight="1" x14ac:dyDescent="0.15">
      <c r="A323" s="47" t="s">
        <v>332</v>
      </c>
      <c r="B323" s="14">
        <v>2</v>
      </c>
      <c r="C323" s="15">
        <v>2</v>
      </c>
      <c r="D323" s="16" t="str">
        <f t="shared" si="5"/>
        <v>10.22</v>
      </c>
      <c r="E323" s="17" t="s">
        <v>354</v>
      </c>
      <c r="F323" s="18">
        <v>634.38</v>
      </c>
      <c r="G323" s="19"/>
      <c r="H323" s="19"/>
    </row>
    <row r="324" spans="1:8" ht="84.5" customHeight="1" x14ac:dyDescent="0.15">
      <c r="A324" s="47" t="s">
        <v>332</v>
      </c>
      <c r="B324" s="14">
        <v>2</v>
      </c>
      <c r="C324" s="15">
        <v>3</v>
      </c>
      <c r="D324" s="16" t="str">
        <f t="shared" si="5"/>
        <v>10.23</v>
      </c>
      <c r="E324" s="17" t="s">
        <v>355</v>
      </c>
      <c r="F324" s="18">
        <v>783.15</v>
      </c>
      <c r="G324" s="19"/>
      <c r="H324" s="19"/>
    </row>
    <row r="325" spans="1:8" ht="84.5" customHeight="1" x14ac:dyDescent="0.15">
      <c r="A325" s="47" t="s">
        <v>332</v>
      </c>
      <c r="B325" s="14">
        <v>2</v>
      </c>
      <c r="C325" s="15">
        <v>4</v>
      </c>
      <c r="D325" s="16" t="str">
        <f t="shared" si="5"/>
        <v>10.24</v>
      </c>
      <c r="E325" s="17" t="s">
        <v>356</v>
      </c>
      <c r="F325" s="20">
        <v>824.2</v>
      </c>
      <c r="G325" s="19"/>
      <c r="H325" s="19"/>
    </row>
    <row r="326" spans="1:8" ht="70.25" customHeight="1" x14ac:dyDescent="0.15">
      <c r="A326" s="47" t="s">
        <v>332</v>
      </c>
      <c r="B326" s="14">
        <v>2</v>
      </c>
      <c r="C326" s="15">
        <v>5</v>
      </c>
      <c r="D326" s="16" t="str">
        <f t="shared" si="5"/>
        <v>10.25</v>
      </c>
      <c r="E326" s="17" t="s">
        <v>357</v>
      </c>
      <c r="F326" s="48">
        <v>1459</v>
      </c>
      <c r="G326" s="19"/>
      <c r="H326" s="19"/>
    </row>
    <row r="327" spans="1:8" ht="70.25" customHeight="1" x14ac:dyDescent="0.15">
      <c r="A327" s="47" t="s">
        <v>332</v>
      </c>
      <c r="B327" s="14">
        <v>2</v>
      </c>
      <c r="C327" s="15">
        <v>6</v>
      </c>
      <c r="D327" s="16" t="str">
        <f t="shared" si="5"/>
        <v>10.26</v>
      </c>
      <c r="E327" s="17" t="s">
        <v>358</v>
      </c>
      <c r="F327" s="48">
        <v>1425</v>
      </c>
      <c r="G327" s="19"/>
      <c r="H327" s="19"/>
    </row>
    <row r="328" spans="1:8" ht="84.5" customHeight="1" x14ac:dyDescent="0.15">
      <c r="A328" s="47" t="s">
        <v>332</v>
      </c>
      <c r="B328" s="14">
        <v>2</v>
      </c>
      <c r="C328" s="15">
        <v>7</v>
      </c>
      <c r="D328" s="16" t="str">
        <f t="shared" si="5"/>
        <v>10.27</v>
      </c>
      <c r="E328" s="17" t="s">
        <v>359</v>
      </c>
      <c r="F328" s="48">
        <v>1611</v>
      </c>
      <c r="G328" s="19"/>
      <c r="H328" s="19"/>
    </row>
    <row r="329" spans="1:8" ht="70.25" customHeight="1" x14ac:dyDescent="0.15">
      <c r="A329" s="47" t="s">
        <v>332</v>
      </c>
      <c r="B329" s="14">
        <v>2</v>
      </c>
      <c r="C329" s="15">
        <v>8</v>
      </c>
      <c r="D329" s="16" t="str">
        <f t="shared" si="5"/>
        <v>10.28</v>
      </c>
      <c r="E329" s="17" t="s">
        <v>360</v>
      </c>
      <c r="F329" s="48">
        <v>1652</v>
      </c>
      <c r="G329" s="19"/>
      <c r="H329" s="19"/>
    </row>
    <row r="330" spans="1:8" ht="56.5" customHeight="1" x14ac:dyDescent="0.15">
      <c r="A330" s="47" t="s">
        <v>332</v>
      </c>
      <c r="B330" s="14">
        <v>3</v>
      </c>
      <c r="C330" s="15">
        <v>1</v>
      </c>
      <c r="D330" s="16" t="str">
        <f t="shared" si="5"/>
        <v>10.31</v>
      </c>
      <c r="E330" s="17" t="s">
        <v>361</v>
      </c>
      <c r="F330" s="20">
        <v>200</v>
      </c>
      <c r="G330" s="19"/>
      <c r="H330" s="19"/>
    </row>
    <row r="331" spans="1:8" ht="42.5" customHeight="1" x14ac:dyDescent="0.15">
      <c r="A331" s="47" t="s">
        <v>332</v>
      </c>
      <c r="B331" s="14">
        <v>3</v>
      </c>
      <c r="C331" s="15">
        <v>2</v>
      </c>
      <c r="D331" s="16" t="str">
        <f t="shared" si="5"/>
        <v>10.32</v>
      </c>
      <c r="E331" s="17" t="s">
        <v>362</v>
      </c>
      <c r="F331" s="20">
        <v>142</v>
      </c>
      <c r="G331" s="19"/>
      <c r="H331" s="19"/>
    </row>
    <row r="332" spans="1:8" ht="42.5" customHeight="1" x14ac:dyDescent="0.15">
      <c r="A332" s="47" t="s">
        <v>332</v>
      </c>
      <c r="B332" s="14">
        <v>3</v>
      </c>
      <c r="C332" s="15">
        <v>3</v>
      </c>
      <c r="D332" s="16" t="str">
        <f t="shared" si="5"/>
        <v>10.33</v>
      </c>
      <c r="E332" s="17" t="s">
        <v>363</v>
      </c>
      <c r="F332" s="20">
        <v>200</v>
      </c>
      <c r="G332" s="19"/>
      <c r="H332" s="19"/>
    </row>
    <row r="333" spans="1:8" ht="42.5" customHeight="1" x14ac:dyDescent="0.15">
      <c r="A333" s="47" t="s">
        <v>332</v>
      </c>
      <c r="B333" s="14">
        <v>3</v>
      </c>
      <c r="C333" s="15">
        <v>4</v>
      </c>
      <c r="D333" s="16" t="str">
        <f t="shared" si="5"/>
        <v>10.34</v>
      </c>
      <c r="E333" s="17" t="s">
        <v>364</v>
      </c>
      <c r="F333" s="20">
        <v>245</v>
      </c>
      <c r="G333" s="19"/>
      <c r="H333" s="19"/>
    </row>
    <row r="334" spans="1:8" ht="17.5" customHeight="1" x14ac:dyDescent="0.15">
      <c r="A334" s="47" t="s">
        <v>332</v>
      </c>
      <c r="B334" s="14">
        <v>3</v>
      </c>
      <c r="C334" s="15">
        <v>5</v>
      </c>
      <c r="D334" s="16" t="str">
        <f t="shared" si="5"/>
        <v>10.35</v>
      </c>
      <c r="E334" s="17" t="s">
        <v>365</v>
      </c>
      <c r="F334" s="20">
        <v>80</v>
      </c>
      <c r="G334" s="19"/>
      <c r="H334" s="19"/>
    </row>
    <row r="335" spans="1:8" ht="28.25" customHeight="1" x14ac:dyDescent="0.15">
      <c r="A335" s="47" t="s">
        <v>332</v>
      </c>
      <c r="B335" s="14">
        <v>4</v>
      </c>
      <c r="C335" s="15">
        <v>1</v>
      </c>
      <c r="D335" s="16" t="str">
        <f t="shared" si="5"/>
        <v>10.41</v>
      </c>
      <c r="E335" s="17" t="s">
        <v>366</v>
      </c>
      <c r="F335" s="20">
        <v>111</v>
      </c>
      <c r="G335" s="19"/>
      <c r="H335" s="19"/>
    </row>
    <row r="336" spans="1:8" ht="28.25" customHeight="1" x14ac:dyDescent="0.15">
      <c r="A336" s="47" t="s">
        <v>332</v>
      </c>
      <c r="B336" s="14">
        <v>4</v>
      </c>
      <c r="C336" s="15">
        <v>2</v>
      </c>
      <c r="D336" s="16" t="str">
        <f t="shared" si="5"/>
        <v>10.42</v>
      </c>
      <c r="E336" s="17" t="s">
        <v>367</v>
      </c>
      <c r="F336" s="20">
        <v>84</v>
      </c>
      <c r="G336" s="19"/>
      <c r="H336" s="19"/>
    </row>
    <row r="337" spans="1:8" ht="28.25" customHeight="1" x14ac:dyDescent="0.15">
      <c r="A337" s="47" t="s">
        <v>332</v>
      </c>
      <c r="B337" s="14">
        <v>4</v>
      </c>
      <c r="C337" s="15">
        <v>3</v>
      </c>
      <c r="D337" s="16" t="str">
        <f t="shared" si="5"/>
        <v>10.43</v>
      </c>
      <c r="E337" s="17" t="s">
        <v>368</v>
      </c>
      <c r="F337" s="20">
        <v>56</v>
      </c>
      <c r="G337" s="19"/>
      <c r="H337" s="19"/>
    </row>
    <row r="338" spans="1:8" ht="17.5" customHeight="1" x14ac:dyDescent="0.15">
      <c r="A338" s="47" t="s">
        <v>332</v>
      </c>
      <c r="B338" s="14">
        <v>4</v>
      </c>
      <c r="C338" s="15">
        <v>4</v>
      </c>
      <c r="D338" s="16" t="str">
        <f t="shared" si="5"/>
        <v>10.44</v>
      </c>
      <c r="E338" s="17" t="s">
        <v>369</v>
      </c>
      <c r="F338" s="18">
        <v>27.08</v>
      </c>
      <c r="G338" s="19"/>
      <c r="H338" s="19"/>
    </row>
    <row r="339" spans="1:8" ht="17.5" customHeight="1" x14ac:dyDescent="0.15">
      <c r="A339" s="47" t="s">
        <v>332</v>
      </c>
      <c r="B339" s="14">
        <v>4</v>
      </c>
      <c r="C339" s="15">
        <v>5</v>
      </c>
      <c r="D339" s="16" t="str">
        <f t="shared" si="5"/>
        <v>10.45</v>
      </c>
      <c r="E339" s="17" t="s">
        <v>370</v>
      </c>
      <c r="F339" s="20">
        <v>68</v>
      </c>
      <c r="G339" s="19"/>
      <c r="H339" s="19"/>
    </row>
    <row r="340" spans="1:8" ht="42.5" customHeight="1" x14ac:dyDescent="0.15">
      <c r="A340" s="47" t="s">
        <v>332</v>
      </c>
      <c r="B340" s="14">
        <v>4</v>
      </c>
      <c r="C340" s="15">
        <v>6</v>
      </c>
      <c r="D340" s="16" t="str">
        <f t="shared" si="5"/>
        <v>10.46</v>
      </c>
      <c r="E340" s="17" t="s">
        <v>371</v>
      </c>
      <c r="F340" s="20">
        <v>212.4</v>
      </c>
      <c r="G340" s="19"/>
      <c r="H340" s="19"/>
    </row>
    <row r="341" spans="1:8" ht="17.5" customHeight="1" x14ac:dyDescent="0.15">
      <c r="A341" s="47" t="s">
        <v>332</v>
      </c>
      <c r="B341" s="14">
        <v>4</v>
      </c>
      <c r="C341" s="15">
        <v>7</v>
      </c>
      <c r="D341" s="16" t="str">
        <f t="shared" si="5"/>
        <v>10.47</v>
      </c>
      <c r="E341" s="17" t="s">
        <v>372</v>
      </c>
      <c r="F341" s="18">
        <v>20.86</v>
      </c>
      <c r="G341" s="19"/>
      <c r="H341" s="19"/>
    </row>
    <row r="342" spans="1:8" ht="17.5" customHeight="1" x14ac:dyDescent="0.15">
      <c r="A342" s="47" t="s">
        <v>332</v>
      </c>
      <c r="B342" s="14">
        <v>4</v>
      </c>
      <c r="C342" s="15">
        <v>8</v>
      </c>
      <c r="D342" s="16" t="str">
        <f t="shared" si="5"/>
        <v>10.48</v>
      </c>
      <c r="E342" s="17" t="s">
        <v>373</v>
      </c>
      <c r="F342" s="20">
        <v>24</v>
      </c>
      <c r="G342" s="19"/>
      <c r="H342" s="19"/>
    </row>
    <row r="343" spans="1:8" ht="17.5" customHeight="1" x14ac:dyDescent="0.15">
      <c r="A343" s="47" t="s">
        <v>332</v>
      </c>
      <c r="B343" s="14">
        <v>4</v>
      </c>
      <c r="C343" s="15">
        <v>9</v>
      </c>
      <c r="D343" s="16" t="str">
        <f t="shared" si="5"/>
        <v>10.49</v>
      </c>
      <c r="E343" s="17" t="s">
        <v>374</v>
      </c>
      <c r="F343" s="18">
        <v>36.96</v>
      </c>
      <c r="G343" s="19"/>
      <c r="H343" s="19"/>
    </row>
    <row r="344" spans="1:8" ht="17.5" customHeight="1" x14ac:dyDescent="0.15">
      <c r="A344" s="47" t="s">
        <v>332</v>
      </c>
      <c r="B344" s="14">
        <v>4</v>
      </c>
      <c r="C344" s="15">
        <v>10</v>
      </c>
      <c r="D344" s="16" t="str">
        <f t="shared" si="5"/>
        <v>10.410</v>
      </c>
      <c r="E344" s="17" t="s">
        <v>375</v>
      </c>
      <c r="F344" s="18">
        <v>50.63</v>
      </c>
      <c r="G344" s="19"/>
      <c r="H344" s="19"/>
    </row>
    <row r="345" spans="1:8" ht="28.25" customHeight="1" x14ac:dyDescent="0.15">
      <c r="A345" s="47" t="s">
        <v>332</v>
      </c>
      <c r="B345" s="14">
        <v>4</v>
      </c>
      <c r="C345" s="15">
        <v>11</v>
      </c>
      <c r="D345" s="16" t="str">
        <f t="shared" si="5"/>
        <v>10.411</v>
      </c>
      <c r="E345" s="17" t="s">
        <v>376</v>
      </c>
      <c r="F345" s="18">
        <v>35.28</v>
      </c>
      <c r="G345" s="19"/>
      <c r="H345" s="19"/>
    </row>
    <row r="346" spans="1:8" ht="28.25" customHeight="1" x14ac:dyDescent="0.15">
      <c r="A346" s="47" t="s">
        <v>332</v>
      </c>
      <c r="B346" s="14">
        <v>4</v>
      </c>
      <c r="C346" s="15">
        <v>12</v>
      </c>
      <c r="D346" s="16" t="str">
        <f t="shared" si="5"/>
        <v>10.412</v>
      </c>
      <c r="E346" s="17" t="s">
        <v>377</v>
      </c>
      <c r="F346" s="18">
        <v>19.829999999999998</v>
      </c>
      <c r="G346" s="19"/>
      <c r="H346" s="19"/>
    </row>
    <row r="347" spans="1:8" ht="28.25" customHeight="1" x14ac:dyDescent="0.15">
      <c r="A347" s="47" t="s">
        <v>332</v>
      </c>
      <c r="B347" s="14">
        <v>4</v>
      </c>
      <c r="C347" s="15">
        <v>13</v>
      </c>
      <c r="D347" s="16" t="str">
        <f t="shared" si="5"/>
        <v>10.413</v>
      </c>
      <c r="E347" s="17" t="s">
        <v>378</v>
      </c>
      <c r="F347" s="20">
        <v>280</v>
      </c>
      <c r="G347" s="19"/>
      <c r="H347" s="19"/>
    </row>
    <row r="348" spans="1:8" ht="42.5" customHeight="1" x14ac:dyDescent="0.15">
      <c r="A348" s="47" t="s">
        <v>332</v>
      </c>
      <c r="B348" s="14">
        <v>4</v>
      </c>
      <c r="C348" s="15">
        <v>14</v>
      </c>
      <c r="D348" s="16" t="str">
        <f t="shared" si="5"/>
        <v>10.414</v>
      </c>
      <c r="E348" s="17" t="s">
        <v>379</v>
      </c>
      <c r="F348" s="20">
        <v>55</v>
      </c>
      <c r="G348" s="19"/>
      <c r="H348" s="19"/>
    </row>
    <row r="349" spans="1:8" ht="28.25" customHeight="1" x14ac:dyDescent="0.15">
      <c r="A349" s="47" t="s">
        <v>332</v>
      </c>
      <c r="B349" s="14">
        <v>4</v>
      </c>
      <c r="C349" s="15">
        <v>15</v>
      </c>
      <c r="D349" s="16" t="str">
        <f t="shared" si="5"/>
        <v>10.415</v>
      </c>
      <c r="E349" s="17" t="s">
        <v>380</v>
      </c>
      <c r="F349" s="20">
        <v>93.6</v>
      </c>
      <c r="G349" s="19"/>
      <c r="H349" s="19"/>
    </row>
    <row r="350" spans="1:8" ht="17.5" customHeight="1" x14ac:dyDescent="0.15">
      <c r="A350" s="47" t="s">
        <v>332</v>
      </c>
      <c r="B350" s="14">
        <v>4</v>
      </c>
      <c r="C350" s="15">
        <v>16</v>
      </c>
      <c r="D350" s="16" t="str">
        <f t="shared" si="5"/>
        <v>10.416</v>
      </c>
      <c r="E350" s="17" t="s">
        <v>381</v>
      </c>
      <c r="F350" s="20">
        <v>168</v>
      </c>
      <c r="G350" s="19"/>
      <c r="H350" s="19"/>
    </row>
    <row r="351" spans="1:8" ht="17.5" customHeight="1" x14ac:dyDescent="0.15">
      <c r="A351" s="47" t="s">
        <v>332</v>
      </c>
      <c r="B351" s="14">
        <v>4</v>
      </c>
      <c r="C351" s="15">
        <v>17</v>
      </c>
      <c r="D351" s="16" t="str">
        <f t="shared" si="5"/>
        <v>10.417</v>
      </c>
      <c r="E351" s="17" t="s">
        <v>382</v>
      </c>
      <c r="F351" s="20">
        <v>48</v>
      </c>
      <c r="G351" s="19"/>
      <c r="H351" s="19"/>
    </row>
    <row r="352" spans="1:8" ht="28.25" customHeight="1" x14ac:dyDescent="0.15">
      <c r="A352" s="47" t="s">
        <v>332</v>
      </c>
      <c r="B352" s="14">
        <v>4</v>
      </c>
      <c r="C352" s="15">
        <v>18</v>
      </c>
      <c r="D352" s="16" t="str">
        <f t="shared" si="5"/>
        <v>10.418</v>
      </c>
      <c r="E352" s="17" t="s">
        <v>383</v>
      </c>
      <c r="F352" s="20">
        <v>52.8</v>
      </c>
      <c r="G352" s="19"/>
      <c r="H352" s="19"/>
    </row>
    <row r="353" spans="1:8" ht="17.5" customHeight="1" x14ac:dyDescent="0.15">
      <c r="A353" s="47" t="s">
        <v>332</v>
      </c>
      <c r="B353" s="14">
        <v>4</v>
      </c>
      <c r="C353" s="15">
        <v>19</v>
      </c>
      <c r="D353" s="16" t="str">
        <f t="shared" si="5"/>
        <v>10.419</v>
      </c>
      <c r="E353" s="17" t="s">
        <v>384</v>
      </c>
      <c r="F353" s="20">
        <v>36</v>
      </c>
      <c r="G353" s="19"/>
      <c r="H353" s="19"/>
    </row>
    <row r="354" spans="1:8" ht="98.5" customHeight="1" x14ac:dyDescent="0.15">
      <c r="A354" s="47" t="s">
        <v>385</v>
      </c>
      <c r="B354" s="14">
        <v>1</v>
      </c>
      <c r="C354" s="15">
        <v>1</v>
      </c>
      <c r="D354" s="16" t="str">
        <f t="shared" si="5"/>
        <v>11.11</v>
      </c>
      <c r="E354" s="17" t="s">
        <v>386</v>
      </c>
      <c r="F354" s="59"/>
      <c r="G354" s="49"/>
      <c r="H354" s="49"/>
    </row>
    <row r="355" spans="1:8" ht="98.5" customHeight="1" x14ac:dyDescent="0.15">
      <c r="A355" s="47" t="s">
        <v>385</v>
      </c>
      <c r="B355" s="14">
        <v>1</v>
      </c>
      <c r="C355" s="15">
        <v>2</v>
      </c>
      <c r="D355" s="16" t="str">
        <f t="shared" si="5"/>
        <v>11.12</v>
      </c>
      <c r="E355" s="17" t="s">
        <v>387</v>
      </c>
      <c r="F355" s="59"/>
      <c r="G355" s="49"/>
      <c r="H355" s="49"/>
    </row>
    <row r="356" spans="1:8" ht="98.5" customHeight="1" x14ac:dyDescent="0.15">
      <c r="A356" s="47" t="s">
        <v>385</v>
      </c>
      <c r="B356" s="14">
        <v>1</v>
      </c>
      <c r="C356" s="15">
        <v>3</v>
      </c>
      <c r="D356" s="16" t="str">
        <f t="shared" si="5"/>
        <v>11.13</v>
      </c>
      <c r="E356" s="17" t="s">
        <v>388</v>
      </c>
      <c r="F356" s="59"/>
      <c r="G356" s="49"/>
      <c r="H356" s="49"/>
    </row>
    <row r="357" spans="1:8" ht="70.25" customHeight="1" x14ac:dyDescent="0.15">
      <c r="A357" s="47" t="s">
        <v>385</v>
      </c>
      <c r="B357" s="14">
        <v>1</v>
      </c>
      <c r="C357" s="15">
        <v>4</v>
      </c>
      <c r="D357" s="16" t="str">
        <f t="shared" si="5"/>
        <v>11.14</v>
      </c>
      <c r="E357" s="60" t="s">
        <v>389</v>
      </c>
      <c r="F357" s="59"/>
      <c r="G357" s="59"/>
      <c r="H357" s="59"/>
    </row>
    <row r="358" spans="1:8" ht="28.25" customHeight="1" x14ac:dyDescent="0.15">
      <c r="A358" s="47" t="s">
        <v>385</v>
      </c>
      <c r="B358" s="14">
        <v>2</v>
      </c>
      <c r="C358" s="15">
        <v>1</v>
      </c>
      <c r="D358" s="16" t="str">
        <f t="shared" si="5"/>
        <v>11.21</v>
      </c>
      <c r="E358" s="17" t="s">
        <v>390</v>
      </c>
      <c r="F358" s="43" t="s">
        <v>391</v>
      </c>
      <c r="G358" s="49"/>
      <c r="H358" s="49"/>
    </row>
    <row r="359" spans="1:8" ht="21.5" customHeight="1" x14ac:dyDescent="0.15">
      <c r="A359" s="47" t="s">
        <v>385</v>
      </c>
      <c r="B359" s="14">
        <v>2</v>
      </c>
      <c r="C359" s="15">
        <v>2</v>
      </c>
      <c r="D359" s="16" t="str">
        <f t="shared" si="5"/>
        <v>11.22</v>
      </c>
      <c r="E359" s="17" t="s">
        <v>392</v>
      </c>
      <c r="F359" s="20">
        <v>67.2</v>
      </c>
      <c r="G359" s="49"/>
      <c r="H359" s="49"/>
    </row>
    <row r="360" spans="1:8" ht="21.5" customHeight="1" x14ac:dyDescent="0.15">
      <c r="A360" s="47" t="s">
        <v>385</v>
      </c>
      <c r="B360" s="14">
        <v>2</v>
      </c>
      <c r="C360" s="15">
        <v>3</v>
      </c>
      <c r="D360" s="16" t="str">
        <f t="shared" si="5"/>
        <v>11.23</v>
      </c>
      <c r="E360" s="17" t="s">
        <v>393</v>
      </c>
      <c r="F360" s="20">
        <v>92.4</v>
      </c>
      <c r="G360" s="49"/>
      <c r="H360" s="49"/>
    </row>
    <row r="361" spans="1:8" ht="21.5" customHeight="1" x14ac:dyDescent="0.15">
      <c r="A361" s="47" t="s">
        <v>385</v>
      </c>
      <c r="B361" s="14">
        <v>2</v>
      </c>
      <c r="C361" s="15">
        <v>4</v>
      </c>
      <c r="D361" s="16" t="str">
        <f t="shared" si="5"/>
        <v>11.24</v>
      </c>
      <c r="E361" s="17" t="s">
        <v>394</v>
      </c>
      <c r="F361" s="20">
        <v>76.8</v>
      </c>
      <c r="G361" s="49"/>
      <c r="H361" s="49"/>
    </row>
    <row r="362" spans="1:8" ht="21.5" customHeight="1" x14ac:dyDescent="0.15">
      <c r="A362" s="47" t="s">
        <v>385</v>
      </c>
      <c r="B362" s="14">
        <v>2</v>
      </c>
      <c r="C362" s="15">
        <v>5</v>
      </c>
      <c r="D362" s="16" t="str">
        <f t="shared" si="5"/>
        <v>11.25</v>
      </c>
      <c r="E362" s="17" t="s">
        <v>395</v>
      </c>
      <c r="F362" s="20">
        <v>99.6</v>
      </c>
      <c r="G362" s="49"/>
      <c r="H362" s="49"/>
    </row>
    <row r="363" spans="1:8" ht="21.5" customHeight="1" x14ac:dyDescent="0.15">
      <c r="A363" s="47" t="s">
        <v>385</v>
      </c>
      <c r="B363" s="14">
        <v>2</v>
      </c>
      <c r="C363" s="15">
        <v>6</v>
      </c>
      <c r="D363" s="16" t="str">
        <f t="shared" si="5"/>
        <v>11.26</v>
      </c>
      <c r="E363" s="17" t="s">
        <v>396</v>
      </c>
      <c r="F363" s="20">
        <v>67.2</v>
      </c>
      <c r="G363" s="49"/>
      <c r="H363" s="49"/>
    </row>
    <row r="364" spans="1:8" ht="21.5" customHeight="1" x14ac:dyDescent="0.15">
      <c r="A364" s="47" t="s">
        <v>385</v>
      </c>
      <c r="B364" s="14">
        <v>2</v>
      </c>
      <c r="C364" s="15">
        <v>7</v>
      </c>
      <c r="D364" s="16" t="str">
        <f t="shared" si="5"/>
        <v>11.27</v>
      </c>
      <c r="E364" s="17" t="s">
        <v>397</v>
      </c>
      <c r="F364" s="20">
        <v>92.4</v>
      </c>
      <c r="G364" s="49"/>
      <c r="H364" s="49"/>
    </row>
    <row r="365" spans="1:8" ht="21.5" customHeight="1" x14ac:dyDescent="0.15">
      <c r="A365" s="47" t="s">
        <v>385</v>
      </c>
      <c r="B365" s="14">
        <v>2</v>
      </c>
      <c r="C365" s="15">
        <v>8</v>
      </c>
      <c r="D365" s="16" t="str">
        <f t="shared" si="5"/>
        <v>11.28</v>
      </c>
      <c r="E365" s="17" t="s">
        <v>398</v>
      </c>
      <c r="F365" s="20">
        <v>76.8</v>
      </c>
      <c r="G365" s="49"/>
      <c r="H365" s="49"/>
    </row>
    <row r="366" spans="1:8" ht="21.5" customHeight="1" x14ac:dyDescent="0.15">
      <c r="A366" s="47" t="s">
        <v>385</v>
      </c>
      <c r="B366" s="14">
        <v>2</v>
      </c>
      <c r="C366" s="15">
        <v>9</v>
      </c>
      <c r="D366" s="16" t="str">
        <f t="shared" si="5"/>
        <v>11.29</v>
      </c>
      <c r="E366" s="17" t="s">
        <v>399</v>
      </c>
      <c r="F366" s="20">
        <v>99.6</v>
      </c>
      <c r="G366" s="49"/>
      <c r="H366" s="49"/>
    </row>
    <row r="367" spans="1:8" ht="28.25" customHeight="1" x14ac:dyDescent="0.15">
      <c r="A367" s="47" t="s">
        <v>385</v>
      </c>
      <c r="B367" s="14">
        <v>2</v>
      </c>
      <c r="C367" s="15">
        <v>10</v>
      </c>
      <c r="D367" s="16" t="str">
        <f t="shared" si="5"/>
        <v>11.210</v>
      </c>
      <c r="E367" s="17" t="s">
        <v>400</v>
      </c>
      <c r="F367" s="20">
        <v>45.6</v>
      </c>
      <c r="G367" s="49"/>
      <c r="H367" s="49"/>
    </row>
    <row r="368" spans="1:8" ht="42.5" customHeight="1" x14ac:dyDescent="0.15">
      <c r="A368" s="47" t="s">
        <v>385</v>
      </c>
      <c r="B368" s="14">
        <v>2</v>
      </c>
      <c r="C368" s="15">
        <v>11</v>
      </c>
      <c r="D368" s="16" t="str">
        <f t="shared" si="5"/>
        <v>11.211</v>
      </c>
      <c r="E368" s="17" t="s">
        <v>401</v>
      </c>
      <c r="F368" s="20">
        <v>61.2</v>
      </c>
      <c r="G368" s="49"/>
      <c r="H368" s="49"/>
    </row>
    <row r="369" spans="1:8" ht="21.5" customHeight="1" x14ac:dyDescent="0.15">
      <c r="A369" s="47" t="s">
        <v>385</v>
      </c>
      <c r="B369" s="14">
        <v>2</v>
      </c>
      <c r="C369" s="15">
        <v>12</v>
      </c>
      <c r="D369" s="16" t="str">
        <f t="shared" si="5"/>
        <v>11.212</v>
      </c>
      <c r="E369" s="17" t="s">
        <v>402</v>
      </c>
      <c r="F369" s="20">
        <v>14.4</v>
      </c>
      <c r="G369" s="49"/>
      <c r="H369" s="49"/>
    </row>
    <row r="370" spans="1:8" ht="21.5" customHeight="1" x14ac:dyDescent="0.15">
      <c r="A370" s="47" t="s">
        <v>385</v>
      </c>
      <c r="B370" s="14">
        <v>2</v>
      </c>
      <c r="C370" s="15">
        <v>13</v>
      </c>
      <c r="D370" s="16" t="str">
        <f t="shared" si="5"/>
        <v>11.213</v>
      </c>
      <c r="E370" s="17" t="s">
        <v>403</v>
      </c>
      <c r="F370" s="20">
        <v>18</v>
      </c>
      <c r="G370" s="49"/>
      <c r="H370" s="49"/>
    </row>
    <row r="371" spans="1:8" ht="28.25" customHeight="1" x14ac:dyDescent="0.15">
      <c r="A371" s="47" t="s">
        <v>385</v>
      </c>
      <c r="B371" s="14">
        <v>2</v>
      </c>
      <c r="C371" s="15">
        <v>14</v>
      </c>
      <c r="D371" s="16" t="str">
        <f t="shared" si="5"/>
        <v>11.214</v>
      </c>
      <c r="E371" s="17" t="s">
        <v>404</v>
      </c>
      <c r="F371" s="43" t="s">
        <v>391</v>
      </c>
      <c r="G371" s="49"/>
      <c r="H371" s="49"/>
    </row>
    <row r="372" spans="1:8" ht="21.5" customHeight="1" x14ac:dyDescent="0.15">
      <c r="A372" s="47" t="s">
        <v>385</v>
      </c>
      <c r="B372" s="14">
        <v>2</v>
      </c>
      <c r="C372" s="15">
        <v>15</v>
      </c>
      <c r="D372" s="16" t="str">
        <f t="shared" si="5"/>
        <v>11.215</v>
      </c>
      <c r="E372" s="17" t="s">
        <v>405</v>
      </c>
      <c r="F372" s="18">
        <v>6.48</v>
      </c>
      <c r="G372" s="49"/>
      <c r="H372" s="49"/>
    </row>
    <row r="373" spans="1:8" ht="21.5" customHeight="1" x14ac:dyDescent="0.15">
      <c r="A373" s="47" t="s">
        <v>385</v>
      </c>
      <c r="B373" s="14">
        <v>3</v>
      </c>
      <c r="C373" s="15">
        <v>1</v>
      </c>
      <c r="D373" s="16" t="str">
        <f t="shared" si="5"/>
        <v>11.31</v>
      </c>
      <c r="E373" s="17" t="s">
        <v>406</v>
      </c>
      <c r="F373" s="20">
        <v>24</v>
      </c>
      <c r="G373" s="49"/>
      <c r="H373" s="49"/>
    </row>
    <row r="374" spans="1:8" ht="21.5" customHeight="1" x14ac:dyDescent="0.15">
      <c r="A374" s="47" t="s">
        <v>385</v>
      </c>
      <c r="B374" s="14">
        <v>3</v>
      </c>
      <c r="C374" s="15">
        <v>2</v>
      </c>
      <c r="D374" s="16" t="str">
        <f t="shared" si="5"/>
        <v>11.32</v>
      </c>
      <c r="E374" s="17" t="s">
        <v>407</v>
      </c>
      <c r="F374" s="20">
        <v>26.4</v>
      </c>
      <c r="G374" s="49"/>
      <c r="H374" s="49"/>
    </row>
    <row r="375" spans="1:8" ht="21.5" customHeight="1" x14ac:dyDescent="0.15">
      <c r="A375" s="47" t="s">
        <v>385</v>
      </c>
      <c r="B375" s="14">
        <v>3</v>
      </c>
      <c r="C375" s="15">
        <v>3</v>
      </c>
      <c r="D375" s="16" t="str">
        <f t="shared" si="5"/>
        <v>11.33</v>
      </c>
      <c r="E375" s="17" t="s">
        <v>408</v>
      </c>
      <c r="F375" s="20">
        <v>26.4</v>
      </c>
      <c r="G375" s="49"/>
      <c r="H375" s="49"/>
    </row>
    <row r="376" spans="1:8" ht="21.5" customHeight="1" x14ac:dyDescent="0.15">
      <c r="A376" s="47" t="s">
        <v>385</v>
      </c>
      <c r="B376" s="14">
        <v>3</v>
      </c>
      <c r="C376" s="15">
        <v>4</v>
      </c>
      <c r="D376" s="16" t="str">
        <f t="shared" si="5"/>
        <v>11.34</v>
      </c>
      <c r="E376" s="17" t="s">
        <v>409</v>
      </c>
      <c r="F376" s="20">
        <v>30</v>
      </c>
      <c r="G376" s="49"/>
      <c r="H376" s="49"/>
    </row>
    <row r="377" spans="1:8" ht="21.5" customHeight="1" x14ac:dyDescent="0.15">
      <c r="A377" s="47" t="s">
        <v>385</v>
      </c>
      <c r="B377" s="14">
        <v>3</v>
      </c>
      <c r="C377" s="15">
        <v>5</v>
      </c>
      <c r="D377" s="16" t="str">
        <f t="shared" si="5"/>
        <v>11.35</v>
      </c>
      <c r="E377" s="17" t="s">
        <v>410</v>
      </c>
      <c r="F377" s="20">
        <v>50.4</v>
      </c>
      <c r="G377" s="49"/>
      <c r="H377" s="49"/>
    </row>
    <row r="378" spans="1:8" ht="21.5" customHeight="1" x14ac:dyDescent="0.15">
      <c r="A378" s="47" t="s">
        <v>385</v>
      </c>
      <c r="B378" s="14">
        <v>3</v>
      </c>
      <c r="C378" s="15">
        <v>6</v>
      </c>
      <c r="D378" s="16" t="str">
        <f t="shared" si="5"/>
        <v>11.36</v>
      </c>
      <c r="E378" s="17" t="s">
        <v>411</v>
      </c>
      <c r="F378" s="20">
        <v>57.6</v>
      </c>
      <c r="G378" s="49"/>
      <c r="H378" s="49"/>
    </row>
    <row r="379" spans="1:8" ht="21.5" customHeight="1" x14ac:dyDescent="0.15">
      <c r="A379" s="47" t="s">
        <v>385</v>
      </c>
      <c r="B379" s="14">
        <v>3</v>
      </c>
      <c r="C379" s="15">
        <v>7</v>
      </c>
      <c r="D379" s="16" t="str">
        <f t="shared" si="5"/>
        <v>11.37</v>
      </c>
      <c r="E379" s="17" t="s">
        <v>412</v>
      </c>
      <c r="F379" s="20">
        <v>62.4</v>
      </c>
      <c r="G379" s="49"/>
      <c r="H379" s="49"/>
    </row>
    <row r="380" spans="1:8" ht="21.5" customHeight="1" x14ac:dyDescent="0.15">
      <c r="A380" s="47" t="s">
        <v>385</v>
      </c>
      <c r="B380" s="14">
        <v>3</v>
      </c>
      <c r="C380" s="15">
        <v>8</v>
      </c>
      <c r="D380" s="16" t="str">
        <f t="shared" si="5"/>
        <v>11.38</v>
      </c>
      <c r="E380" s="17" t="s">
        <v>413</v>
      </c>
      <c r="F380" s="20">
        <v>72</v>
      </c>
      <c r="G380" s="49"/>
      <c r="H380" s="49"/>
    </row>
    <row r="381" spans="1:8" ht="21.5" customHeight="1" x14ac:dyDescent="0.15">
      <c r="A381" s="47" t="s">
        <v>385</v>
      </c>
      <c r="B381" s="14">
        <v>4</v>
      </c>
      <c r="C381" s="15">
        <v>1</v>
      </c>
      <c r="D381" s="16" t="str">
        <f t="shared" si="5"/>
        <v>11.41</v>
      </c>
      <c r="E381" s="17" t="s">
        <v>414</v>
      </c>
      <c r="F381" s="20">
        <v>54</v>
      </c>
      <c r="G381" s="49"/>
      <c r="H381" s="49"/>
    </row>
    <row r="382" spans="1:8" ht="21.5" customHeight="1" x14ac:dyDescent="0.15">
      <c r="A382" s="47" t="s">
        <v>385</v>
      </c>
      <c r="B382" s="14">
        <v>4</v>
      </c>
      <c r="C382" s="15">
        <v>2</v>
      </c>
      <c r="D382" s="16" t="str">
        <f t="shared" si="5"/>
        <v>11.42</v>
      </c>
      <c r="E382" s="17" t="s">
        <v>415</v>
      </c>
      <c r="F382" s="20">
        <v>78</v>
      </c>
      <c r="G382" s="49"/>
      <c r="H382" s="49"/>
    </row>
    <row r="383" spans="1:8" ht="21.5" customHeight="1" x14ac:dyDescent="0.15">
      <c r="A383" s="47" t="s">
        <v>385</v>
      </c>
      <c r="B383" s="14">
        <v>4</v>
      </c>
      <c r="C383" s="15">
        <v>3</v>
      </c>
      <c r="D383" s="16" t="str">
        <f t="shared" si="5"/>
        <v>11.43</v>
      </c>
      <c r="E383" s="17" t="s">
        <v>416</v>
      </c>
      <c r="F383" s="20">
        <v>744</v>
      </c>
      <c r="G383" s="49"/>
      <c r="H383" s="49"/>
    </row>
    <row r="384" spans="1:8" ht="21.5" customHeight="1" x14ac:dyDescent="0.15">
      <c r="A384" s="47" t="s">
        <v>385</v>
      </c>
      <c r="B384" s="14">
        <v>4</v>
      </c>
      <c r="C384" s="15">
        <v>4</v>
      </c>
      <c r="D384" s="16" t="str">
        <f t="shared" si="5"/>
        <v>11.44</v>
      </c>
      <c r="E384" s="17" t="s">
        <v>417</v>
      </c>
      <c r="F384" s="20">
        <v>300</v>
      </c>
      <c r="G384" s="49"/>
      <c r="H384" s="49"/>
    </row>
    <row r="385" spans="1:8" ht="21.5" customHeight="1" x14ac:dyDescent="0.15">
      <c r="A385" s="47" t="s">
        <v>385</v>
      </c>
      <c r="B385" s="14">
        <v>4</v>
      </c>
      <c r="C385" s="15">
        <v>5</v>
      </c>
      <c r="D385" s="16" t="str">
        <f t="shared" si="5"/>
        <v>11.45</v>
      </c>
      <c r="E385" s="17" t="s">
        <v>418</v>
      </c>
      <c r="F385" s="20">
        <v>648</v>
      </c>
      <c r="G385" s="49"/>
      <c r="H385" s="49"/>
    </row>
    <row r="386" spans="1:8" ht="21.5" customHeight="1" x14ac:dyDescent="0.15">
      <c r="A386" s="47" t="s">
        <v>385</v>
      </c>
      <c r="B386" s="14">
        <v>4</v>
      </c>
      <c r="C386" s="15">
        <v>6</v>
      </c>
      <c r="D386" s="16" t="str">
        <f t="shared" ref="D386:D449" si="6">CONCATENATE(A386,B386,C386)</f>
        <v>11.46</v>
      </c>
      <c r="E386" s="17" t="s">
        <v>419</v>
      </c>
      <c r="F386" s="20">
        <v>408</v>
      </c>
      <c r="G386" s="49"/>
      <c r="H386" s="49"/>
    </row>
    <row r="387" spans="1:8" ht="21.5" customHeight="1" x14ac:dyDescent="0.15">
      <c r="A387" s="47" t="s">
        <v>385</v>
      </c>
      <c r="B387" s="14">
        <v>5</v>
      </c>
      <c r="C387" s="15">
        <v>1</v>
      </c>
      <c r="D387" s="16" t="str">
        <f t="shared" si="6"/>
        <v>11.51</v>
      </c>
      <c r="E387" s="17" t="s">
        <v>420</v>
      </c>
      <c r="F387" s="20">
        <v>54</v>
      </c>
      <c r="G387" s="49"/>
      <c r="H387" s="49"/>
    </row>
    <row r="388" spans="1:8" ht="21.5" customHeight="1" x14ac:dyDescent="0.15">
      <c r="A388" s="47" t="s">
        <v>385</v>
      </c>
      <c r="B388" s="14">
        <v>5</v>
      </c>
      <c r="C388" s="15">
        <v>2</v>
      </c>
      <c r="D388" s="16" t="str">
        <f t="shared" si="6"/>
        <v>11.52</v>
      </c>
      <c r="E388" s="17" t="s">
        <v>421</v>
      </c>
      <c r="F388" s="20">
        <v>156</v>
      </c>
      <c r="G388" s="49"/>
      <c r="H388" s="49"/>
    </row>
    <row r="389" spans="1:8" ht="21.5" customHeight="1" x14ac:dyDescent="0.15">
      <c r="A389" s="47" t="s">
        <v>385</v>
      </c>
      <c r="B389" s="14">
        <v>5</v>
      </c>
      <c r="C389" s="15">
        <v>3</v>
      </c>
      <c r="D389" s="16" t="str">
        <f t="shared" si="6"/>
        <v>11.53</v>
      </c>
      <c r="E389" s="17" t="s">
        <v>422</v>
      </c>
      <c r="F389" s="20">
        <v>108</v>
      </c>
      <c r="G389" s="49"/>
      <c r="H389" s="49"/>
    </row>
    <row r="390" spans="1:8" ht="21.5" customHeight="1" x14ac:dyDescent="0.15">
      <c r="A390" s="47" t="s">
        <v>385</v>
      </c>
      <c r="B390" s="14">
        <v>5</v>
      </c>
      <c r="C390" s="15">
        <v>4</v>
      </c>
      <c r="D390" s="16" t="str">
        <f t="shared" si="6"/>
        <v>11.54</v>
      </c>
      <c r="E390" s="17" t="s">
        <v>423</v>
      </c>
      <c r="F390" s="20">
        <v>19.2</v>
      </c>
      <c r="G390" s="49"/>
      <c r="H390" s="49"/>
    </row>
    <row r="391" spans="1:8" ht="21.5" customHeight="1" x14ac:dyDescent="0.15">
      <c r="A391" s="47" t="s">
        <v>385</v>
      </c>
      <c r="B391" s="14">
        <v>5</v>
      </c>
      <c r="C391" s="15">
        <v>6</v>
      </c>
      <c r="D391" s="16" t="str">
        <f t="shared" si="6"/>
        <v>11.56</v>
      </c>
      <c r="E391" s="17" t="s">
        <v>424</v>
      </c>
      <c r="F391" s="20">
        <v>36</v>
      </c>
      <c r="G391" s="49"/>
      <c r="H391" s="49"/>
    </row>
    <row r="392" spans="1:8" ht="21.5" customHeight="1" x14ac:dyDescent="0.15">
      <c r="A392" s="47" t="s">
        <v>385</v>
      </c>
      <c r="B392" s="14">
        <v>5</v>
      </c>
      <c r="C392" s="15">
        <v>7</v>
      </c>
      <c r="D392" s="16" t="str">
        <f t="shared" si="6"/>
        <v>11.57</v>
      </c>
      <c r="E392" s="17" t="s">
        <v>425</v>
      </c>
      <c r="F392" s="20">
        <v>10.8</v>
      </c>
      <c r="G392" s="49"/>
      <c r="H392" s="49"/>
    </row>
    <row r="393" spans="1:8" ht="21.5" customHeight="1" x14ac:dyDescent="0.15">
      <c r="A393" s="47" t="s">
        <v>385</v>
      </c>
      <c r="B393" s="14">
        <v>5</v>
      </c>
      <c r="C393" s="15">
        <v>8</v>
      </c>
      <c r="D393" s="16" t="str">
        <f t="shared" si="6"/>
        <v>11.58</v>
      </c>
      <c r="E393" s="17" t="s">
        <v>426</v>
      </c>
      <c r="F393" s="20">
        <v>32.4</v>
      </c>
      <c r="G393" s="49"/>
      <c r="H393" s="49"/>
    </row>
    <row r="394" spans="1:8" ht="21.5" customHeight="1" x14ac:dyDescent="0.15">
      <c r="A394" s="47" t="s">
        <v>385</v>
      </c>
      <c r="B394" s="14">
        <v>6</v>
      </c>
      <c r="C394" s="15">
        <v>1</v>
      </c>
      <c r="D394" s="16" t="str">
        <f t="shared" si="6"/>
        <v>11.61</v>
      </c>
      <c r="E394" s="17" t="s">
        <v>427</v>
      </c>
      <c r="F394" s="20">
        <v>10</v>
      </c>
      <c r="G394" s="49"/>
      <c r="H394" s="49"/>
    </row>
    <row r="395" spans="1:8" ht="21.5" customHeight="1" x14ac:dyDescent="0.15">
      <c r="A395" s="47" t="s">
        <v>385</v>
      </c>
      <c r="B395" s="14">
        <v>6</v>
      </c>
      <c r="C395" s="15">
        <v>2</v>
      </c>
      <c r="D395" s="16" t="str">
        <f t="shared" si="6"/>
        <v>11.62</v>
      </c>
      <c r="E395" s="17" t="s">
        <v>428</v>
      </c>
      <c r="F395" s="20">
        <v>14</v>
      </c>
      <c r="G395" s="49"/>
      <c r="H395" s="49"/>
    </row>
    <row r="396" spans="1:8" ht="21.5" customHeight="1" x14ac:dyDescent="0.15">
      <c r="A396" s="47" t="s">
        <v>385</v>
      </c>
      <c r="B396" s="14">
        <v>6</v>
      </c>
      <c r="C396" s="15">
        <v>3</v>
      </c>
      <c r="D396" s="16" t="str">
        <f t="shared" si="6"/>
        <v>11.63</v>
      </c>
      <c r="E396" s="17" t="s">
        <v>429</v>
      </c>
      <c r="F396" s="20">
        <v>30</v>
      </c>
      <c r="G396" s="49"/>
      <c r="H396" s="49"/>
    </row>
    <row r="397" spans="1:8" ht="21.5" customHeight="1" x14ac:dyDescent="0.15">
      <c r="A397" s="47" t="s">
        <v>385</v>
      </c>
      <c r="B397" s="14">
        <v>6</v>
      </c>
      <c r="C397" s="15">
        <v>4</v>
      </c>
      <c r="D397" s="16" t="str">
        <f t="shared" si="6"/>
        <v>11.64</v>
      </c>
      <c r="E397" s="17" t="s">
        <v>430</v>
      </c>
      <c r="F397" s="20">
        <v>37</v>
      </c>
      <c r="G397" s="49"/>
      <c r="H397" s="49"/>
    </row>
    <row r="398" spans="1:8" ht="21.5" customHeight="1" x14ac:dyDescent="0.15">
      <c r="A398" s="47" t="s">
        <v>385</v>
      </c>
      <c r="B398" s="14">
        <v>6</v>
      </c>
      <c r="C398" s="15">
        <v>5</v>
      </c>
      <c r="D398" s="16" t="str">
        <f t="shared" si="6"/>
        <v>11.65</v>
      </c>
      <c r="E398" s="17" t="s">
        <v>431</v>
      </c>
      <c r="F398" s="20">
        <v>9</v>
      </c>
      <c r="G398" s="49"/>
      <c r="H398" s="49"/>
    </row>
    <row r="399" spans="1:8" ht="21.5" customHeight="1" x14ac:dyDescent="0.15">
      <c r="A399" s="47" t="s">
        <v>385</v>
      </c>
      <c r="B399" s="14">
        <v>6</v>
      </c>
      <c r="C399" s="15">
        <v>6</v>
      </c>
      <c r="D399" s="16" t="str">
        <f t="shared" si="6"/>
        <v>11.66</v>
      </c>
      <c r="E399" s="17" t="s">
        <v>432</v>
      </c>
      <c r="F399" s="20">
        <v>35</v>
      </c>
      <c r="G399" s="49"/>
      <c r="H399" s="49"/>
    </row>
    <row r="400" spans="1:8" ht="21.5" customHeight="1" x14ac:dyDescent="0.15">
      <c r="A400" s="47" t="s">
        <v>385</v>
      </c>
      <c r="B400" s="14">
        <v>6</v>
      </c>
      <c r="C400" s="15">
        <v>7</v>
      </c>
      <c r="D400" s="16" t="str">
        <f t="shared" si="6"/>
        <v>11.67</v>
      </c>
      <c r="E400" s="17" t="s">
        <v>433</v>
      </c>
      <c r="F400" s="20">
        <v>29</v>
      </c>
      <c r="G400" s="49"/>
      <c r="H400" s="49"/>
    </row>
    <row r="401" spans="1:8" ht="21.5" customHeight="1" x14ac:dyDescent="0.15">
      <c r="A401" s="47" t="s">
        <v>385</v>
      </c>
      <c r="B401" s="14">
        <v>6</v>
      </c>
      <c r="C401" s="15">
        <v>8</v>
      </c>
      <c r="D401" s="16" t="str">
        <f t="shared" si="6"/>
        <v>11.68</v>
      </c>
      <c r="E401" s="17" t="s">
        <v>434</v>
      </c>
      <c r="F401" s="20">
        <v>35</v>
      </c>
      <c r="G401" s="49"/>
      <c r="H401" s="49"/>
    </row>
    <row r="402" spans="1:8" ht="21.5" customHeight="1" x14ac:dyDescent="0.15">
      <c r="A402" s="47" t="s">
        <v>385</v>
      </c>
      <c r="B402" s="14">
        <v>6</v>
      </c>
      <c r="C402" s="15">
        <v>9</v>
      </c>
      <c r="D402" s="16" t="str">
        <f t="shared" si="6"/>
        <v>11.69</v>
      </c>
      <c r="E402" s="17" t="s">
        <v>435</v>
      </c>
      <c r="F402" s="20">
        <v>31</v>
      </c>
      <c r="G402" s="49"/>
      <c r="H402" s="49"/>
    </row>
    <row r="403" spans="1:8" ht="21.5" customHeight="1" x14ac:dyDescent="0.15">
      <c r="A403" s="47" t="s">
        <v>385</v>
      </c>
      <c r="B403" s="14">
        <v>6</v>
      </c>
      <c r="C403" s="15">
        <v>10</v>
      </c>
      <c r="D403" s="16" t="str">
        <f t="shared" si="6"/>
        <v>11.610</v>
      </c>
      <c r="E403" s="17" t="s">
        <v>436</v>
      </c>
      <c r="F403" s="20">
        <v>38</v>
      </c>
      <c r="G403" s="49"/>
      <c r="H403" s="49"/>
    </row>
    <row r="404" spans="1:8" ht="21.5" customHeight="1" x14ac:dyDescent="0.15">
      <c r="A404" s="47" t="s">
        <v>385</v>
      </c>
      <c r="B404" s="14">
        <v>6</v>
      </c>
      <c r="C404" s="15">
        <v>11</v>
      </c>
      <c r="D404" s="16" t="str">
        <f t="shared" si="6"/>
        <v>11.611</v>
      </c>
      <c r="E404" s="17" t="s">
        <v>437</v>
      </c>
      <c r="F404" s="20">
        <v>42</v>
      </c>
      <c r="G404" s="49"/>
      <c r="H404" s="49"/>
    </row>
    <row r="405" spans="1:8" ht="21.5" customHeight="1" x14ac:dyDescent="0.15">
      <c r="A405" s="47" t="s">
        <v>385</v>
      </c>
      <c r="B405" s="14">
        <v>6</v>
      </c>
      <c r="C405" s="15">
        <v>12</v>
      </c>
      <c r="D405" s="16" t="str">
        <f t="shared" si="6"/>
        <v>11.612</v>
      </c>
      <c r="E405" s="17" t="s">
        <v>438</v>
      </c>
      <c r="F405" s="20">
        <v>48</v>
      </c>
      <c r="G405" s="49"/>
      <c r="H405" s="49"/>
    </row>
    <row r="406" spans="1:8" ht="21.5" customHeight="1" x14ac:dyDescent="0.15">
      <c r="A406" s="47" t="s">
        <v>385</v>
      </c>
      <c r="B406" s="14">
        <v>6</v>
      </c>
      <c r="C406" s="15">
        <v>13</v>
      </c>
      <c r="D406" s="16" t="str">
        <f t="shared" si="6"/>
        <v>11.613</v>
      </c>
      <c r="E406" s="17" t="s">
        <v>439</v>
      </c>
      <c r="F406" s="20">
        <v>48</v>
      </c>
      <c r="G406" s="49"/>
      <c r="H406" s="49"/>
    </row>
    <row r="407" spans="1:8" ht="21.5" customHeight="1" x14ac:dyDescent="0.15">
      <c r="A407" s="47" t="s">
        <v>385</v>
      </c>
      <c r="B407" s="14">
        <v>6</v>
      </c>
      <c r="C407" s="15">
        <v>14</v>
      </c>
      <c r="D407" s="16" t="str">
        <f t="shared" si="6"/>
        <v>11.614</v>
      </c>
      <c r="E407" s="17" t="s">
        <v>440</v>
      </c>
      <c r="F407" s="20">
        <v>48</v>
      </c>
      <c r="G407" s="49"/>
      <c r="H407" s="49"/>
    </row>
    <row r="408" spans="1:8" ht="21.5" customHeight="1" x14ac:dyDescent="0.15">
      <c r="A408" s="47" t="s">
        <v>385</v>
      </c>
      <c r="B408" s="14">
        <v>6</v>
      </c>
      <c r="C408" s="15">
        <v>15</v>
      </c>
      <c r="D408" s="16" t="str">
        <f t="shared" si="6"/>
        <v>11.615</v>
      </c>
      <c r="E408" s="17" t="s">
        <v>441</v>
      </c>
      <c r="F408" s="20">
        <v>46</v>
      </c>
      <c r="G408" s="49"/>
      <c r="H408" s="49"/>
    </row>
    <row r="409" spans="1:8" ht="21.5" customHeight="1" x14ac:dyDescent="0.15">
      <c r="A409" s="47" t="s">
        <v>385</v>
      </c>
      <c r="B409" s="14">
        <v>6</v>
      </c>
      <c r="C409" s="15">
        <v>16</v>
      </c>
      <c r="D409" s="16" t="str">
        <f t="shared" si="6"/>
        <v>11.616</v>
      </c>
      <c r="E409" s="17" t="s">
        <v>442</v>
      </c>
      <c r="F409" s="20">
        <v>52</v>
      </c>
      <c r="G409" s="49"/>
      <c r="H409" s="49"/>
    </row>
    <row r="410" spans="1:8" ht="21.5" customHeight="1" x14ac:dyDescent="0.15">
      <c r="A410" s="47" t="s">
        <v>385</v>
      </c>
      <c r="B410" s="14">
        <v>6</v>
      </c>
      <c r="C410" s="15">
        <v>17</v>
      </c>
      <c r="D410" s="16" t="str">
        <f t="shared" si="6"/>
        <v>11.617</v>
      </c>
      <c r="E410" s="17" t="s">
        <v>443</v>
      </c>
      <c r="F410" s="20">
        <v>14</v>
      </c>
      <c r="G410" s="49"/>
      <c r="H410" s="49"/>
    </row>
    <row r="411" spans="1:8" ht="21.5" customHeight="1" x14ac:dyDescent="0.15">
      <c r="A411" s="47" t="s">
        <v>385</v>
      </c>
      <c r="B411" s="14">
        <v>6</v>
      </c>
      <c r="C411" s="15">
        <v>18</v>
      </c>
      <c r="D411" s="16" t="str">
        <f t="shared" si="6"/>
        <v>11.618</v>
      </c>
      <c r="E411" s="17" t="s">
        <v>444</v>
      </c>
      <c r="F411" s="20">
        <v>22</v>
      </c>
      <c r="G411" s="49"/>
      <c r="H411" s="49"/>
    </row>
    <row r="412" spans="1:8" ht="21.5" customHeight="1" x14ac:dyDescent="0.15">
      <c r="A412" s="47" t="s">
        <v>385</v>
      </c>
      <c r="B412" s="14">
        <v>6</v>
      </c>
      <c r="C412" s="15">
        <v>19</v>
      </c>
      <c r="D412" s="16" t="str">
        <f t="shared" si="6"/>
        <v>11.619</v>
      </c>
      <c r="E412" s="17" t="s">
        <v>445</v>
      </c>
      <c r="F412" s="20">
        <v>29</v>
      </c>
      <c r="G412" s="49"/>
      <c r="H412" s="49"/>
    </row>
    <row r="413" spans="1:8" ht="21.5" customHeight="1" x14ac:dyDescent="0.15">
      <c r="A413" s="47" t="s">
        <v>385</v>
      </c>
      <c r="B413" s="14">
        <v>6</v>
      </c>
      <c r="C413" s="15">
        <v>20</v>
      </c>
      <c r="D413" s="16" t="str">
        <f t="shared" si="6"/>
        <v>11.620</v>
      </c>
      <c r="E413" s="17" t="s">
        <v>446</v>
      </c>
      <c r="F413" s="20">
        <v>44</v>
      </c>
      <c r="G413" s="49"/>
      <c r="H413" s="49"/>
    </row>
    <row r="414" spans="1:8" ht="21.5" customHeight="1" x14ac:dyDescent="0.15">
      <c r="A414" s="47" t="s">
        <v>385</v>
      </c>
      <c r="B414" s="14">
        <v>6</v>
      </c>
      <c r="C414" s="15">
        <v>21</v>
      </c>
      <c r="D414" s="16" t="str">
        <f t="shared" si="6"/>
        <v>11.621</v>
      </c>
      <c r="E414" s="17" t="s">
        <v>447</v>
      </c>
      <c r="F414" s="50">
        <v>0.08</v>
      </c>
      <c r="G414" s="49"/>
      <c r="H414" s="49"/>
    </row>
    <row r="415" spans="1:8" ht="21.5" customHeight="1" x14ac:dyDescent="0.15">
      <c r="A415" s="47" t="s">
        <v>385</v>
      </c>
      <c r="B415" s="14">
        <v>6</v>
      </c>
      <c r="C415" s="15">
        <v>22</v>
      </c>
      <c r="D415" s="16" t="str">
        <f t="shared" si="6"/>
        <v>11.622</v>
      </c>
      <c r="E415" s="17" t="s">
        <v>448</v>
      </c>
      <c r="F415" s="50">
        <v>0.13</v>
      </c>
      <c r="G415" s="49"/>
      <c r="H415" s="49"/>
    </row>
    <row r="416" spans="1:8" ht="21.5" customHeight="1" x14ac:dyDescent="0.15">
      <c r="A416" s="47" t="s">
        <v>385</v>
      </c>
      <c r="B416" s="14">
        <v>7</v>
      </c>
      <c r="C416" s="15">
        <v>1</v>
      </c>
      <c r="D416" s="16" t="str">
        <f t="shared" si="6"/>
        <v>11.71</v>
      </c>
      <c r="E416" s="17" t="s">
        <v>449</v>
      </c>
      <c r="F416" s="20">
        <v>2</v>
      </c>
      <c r="G416" s="49"/>
      <c r="H416" s="49"/>
    </row>
    <row r="417" spans="1:8" ht="21.5" customHeight="1" x14ac:dyDescent="0.15">
      <c r="A417" s="47" t="s">
        <v>385</v>
      </c>
      <c r="B417" s="14">
        <v>7</v>
      </c>
      <c r="C417" s="15">
        <v>2</v>
      </c>
      <c r="D417" s="16" t="str">
        <f t="shared" si="6"/>
        <v>11.72</v>
      </c>
      <c r="E417" s="17" t="s">
        <v>450</v>
      </c>
      <c r="F417" s="20">
        <v>2.6</v>
      </c>
      <c r="G417" s="49"/>
      <c r="H417" s="49"/>
    </row>
    <row r="418" spans="1:8" ht="21.5" customHeight="1" x14ac:dyDescent="0.15">
      <c r="A418" s="47" t="s">
        <v>385</v>
      </c>
      <c r="B418" s="14">
        <v>7</v>
      </c>
      <c r="C418" s="15">
        <v>3</v>
      </c>
      <c r="D418" s="16" t="str">
        <f t="shared" si="6"/>
        <v>11.73</v>
      </c>
      <c r="E418" s="17" t="s">
        <v>451</v>
      </c>
      <c r="F418" s="20">
        <v>3.6</v>
      </c>
      <c r="G418" s="49"/>
      <c r="H418" s="49"/>
    </row>
    <row r="419" spans="1:8" ht="21.5" customHeight="1" x14ac:dyDescent="0.15">
      <c r="A419" s="47" t="s">
        <v>385</v>
      </c>
      <c r="B419" s="14">
        <v>7</v>
      </c>
      <c r="C419" s="15">
        <v>4</v>
      </c>
      <c r="D419" s="16" t="str">
        <f t="shared" si="6"/>
        <v>11.74</v>
      </c>
      <c r="E419" s="17" t="s">
        <v>452</v>
      </c>
      <c r="F419" s="20">
        <v>4.5999999999999996</v>
      </c>
      <c r="G419" s="49"/>
      <c r="H419" s="49"/>
    </row>
    <row r="420" spans="1:8" ht="21.5" customHeight="1" x14ac:dyDescent="0.15">
      <c r="A420" s="47" t="s">
        <v>385</v>
      </c>
      <c r="B420" s="14">
        <v>8</v>
      </c>
      <c r="C420" s="15">
        <v>1</v>
      </c>
      <c r="D420" s="16" t="str">
        <f t="shared" si="6"/>
        <v>11.81</v>
      </c>
      <c r="E420" s="17" t="s">
        <v>453</v>
      </c>
      <c r="F420" s="20">
        <v>9</v>
      </c>
      <c r="G420" s="49"/>
      <c r="H420" s="49"/>
    </row>
    <row r="421" spans="1:8" ht="21.5" customHeight="1" x14ac:dyDescent="0.15">
      <c r="A421" s="47" t="s">
        <v>385</v>
      </c>
      <c r="B421" s="14">
        <v>8</v>
      </c>
      <c r="C421" s="15">
        <v>2</v>
      </c>
      <c r="D421" s="16" t="str">
        <f t="shared" si="6"/>
        <v>11.82</v>
      </c>
      <c r="E421" s="17" t="s">
        <v>454</v>
      </c>
      <c r="F421" s="20">
        <v>11.4</v>
      </c>
      <c r="G421" s="49"/>
      <c r="H421" s="49"/>
    </row>
    <row r="422" spans="1:8" ht="21.5" customHeight="1" x14ac:dyDescent="0.15">
      <c r="A422" s="47" t="s">
        <v>385</v>
      </c>
      <c r="B422" s="14">
        <v>8</v>
      </c>
      <c r="C422" s="15">
        <v>3</v>
      </c>
      <c r="D422" s="16" t="str">
        <f t="shared" si="6"/>
        <v>11.83</v>
      </c>
      <c r="E422" s="17" t="s">
        <v>455</v>
      </c>
      <c r="F422" s="20">
        <v>12</v>
      </c>
      <c r="G422" s="49"/>
      <c r="H422" s="49"/>
    </row>
    <row r="423" spans="1:8" ht="21.5" customHeight="1" x14ac:dyDescent="0.15">
      <c r="A423" s="47" t="s">
        <v>385</v>
      </c>
      <c r="B423" s="14">
        <v>8</v>
      </c>
      <c r="C423" s="15">
        <v>4</v>
      </c>
      <c r="D423" s="16" t="str">
        <f t="shared" si="6"/>
        <v>11.84</v>
      </c>
      <c r="E423" s="17" t="s">
        <v>456</v>
      </c>
      <c r="F423" s="20">
        <v>10.199999999999999</v>
      </c>
      <c r="G423" s="49"/>
      <c r="H423" s="49"/>
    </row>
    <row r="424" spans="1:8" ht="21.5" customHeight="1" x14ac:dyDescent="0.15">
      <c r="A424" s="47" t="s">
        <v>385</v>
      </c>
      <c r="B424" s="14">
        <v>8</v>
      </c>
      <c r="C424" s="15">
        <v>5</v>
      </c>
      <c r="D424" s="16" t="str">
        <f t="shared" si="6"/>
        <v>11.85</v>
      </c>
      <c r="E424" s="17" t="s">
        <v>457</v>
      </c>
      <c r="F424" s="18">
        <v>3.36</v>
      </c>
      <c r="G424" s="49"/>
      <c r="H424" s="49"/>
    </row>
    <row r="425" spans="1:8" ht="21.5" customHeight="1" x14ac:dyDescent="0.15">
      <c r="A425" s="47" t="s">
        <v>385</v>
      </c>
      <c r="B425" s="14">
        <v>8</v>
      </c>
      <c r="C425" s="15">
        <v>6</v>
      </c>
      <c r="D425" s="16" t="str">
        <f t="shared" si="6"/>
        <v>11.86</v>
      </c>
      <c r="E425" s="17" t="s">
        <v>458</v>
      </c>
      <c r="F425" s="18">
        <v>3.72</v>
      </c>
      <c r="G425" s="49"/>
      <c r="H425" s="49"/>
    </row>
    <row r="426" spans="1:8" ht="21.5" customHeight="1" x14ac:dyDescent="0.15">
      <c r="A426" s="47" t="s">
        <v>385</v>
      </c>
      <c r="B426" s="14">
        <v>8</v>
      </c>
      <c r="C426" s="15">
        <v>7</v>
      </c>
      <c r="D426" s="16" t="str">
        <f t="shared" si="6"/>
        <v>11.87</v>
      </c>
      <c r="E426" s="17" t="s">
        <v>459</v>
      </c>
      <c r="F426" s="18">
        <v>5.52</v>
      </c>
      <c r="G426" s="49"/>
      <c r="H426" s="49"/>
    </row>
    <row r="427" spans="1:8" ht="21.5" customHeight="1" x14ac:dyDescent="0.15">
      <c r="A427" s="47" t="s">
        <v>385</v>
      </c>
      <c r="B427" s="14">
        <v>8</v>
      </c>
      <c r="C427" s="15">
        <v>8</v>
      </c>
      <c r="D427" s="16" t="str">
        <f t="shared" si="6"/>
        <v>11.88</v>
      </c>
      <c r="E427" s="17" t="s">
        <v>460</v>
      </c>
      <c r="F427" s="18">
        <v>3.36</v>
      </c>
      <c r="G427" s="49"/>
      <c r="H427" s="49"/>
    </row>
    <row r="428" spans="1:8" ht="21.5" customHeight="1" x14ac:dyDescent="0.15">
      <c r="A428" s="47" t="s">
        <v>385</v>
      </c>
      <c r="B428" s="14">
        <v>8</v>
      </c>
      <c r="C428" s="15">
        <v>9</v>
      </c>
      <c r="D428" s="16" t="str">
        <f t="shared" si="6"/>
        <v>11.89</v>
      </c>
      <c r="E428" s="17" t="s">
        <v>461</v>
      </c>
      <c r="F428" s="18">
        <v>3.72</v>
      </c>
      <c r="G428" s="49"/>
      <c r="H428" s="49"/>
    </row>
    <row r="429" spans="1:8" ht="21.5" customHeight="1" x14ac:dyDescent="0.15">
      <c r="A429" s="47" t="s">
        <v>385</v>
      </c>
      <c r="B429" s="14">
        <v>8</v>
      </c>
      <c r="C429" s="15">
        <v>10</v>
      </c>
      <c r="D429" s="16" t="str">
        <f t="shared" si="6"/>
        <v>11.810</v>
      </c>
      <c r="E429" s="17" t="s">
        <v>462</v>
      </c>
      <c r="F429" s="18">
        <v>5.52</v>
      </c>
      <c r="G429" s="49"/>
      <c r="H429" s="49"/>
    </row>
    <row r="430" spans="1:8" ht="21.5" customHeight="1" x14ac:dyDescent="0.15">
      <c r="A430" s="47" t="s">
        <v>385</v>
      </c>
      <c r="B430" s="14">
        <v>8</v>
      </c>
      <c r="C430" s="15">
        <v>11</v>
      </c>
      <c r="D430" s="16" t="str">
        <f t="shared" si="6"/>
        <v>11.811</v>
      </c>
      <c r="E430" s="17" t="s">
        <v>463</v>
      </c>
      <c r="F430" s="18">
        <v>6.72</v>
      </c>
      <c r="G430" s="49"/>
      <c r="H430" s="49"/>
    </row>
    <row r="431" spans="1:8" ht="21.5" customHeight="1" x14ac:dyDescent="0.15">
      <c r="A431" s="47" t="s">
        <v>385</v>
      </c>
      <c r="B431" s="14">
        <v>8</v>
      </c>
      <c r="C431" s="15">
        <v>12</v>
      </c>
      <c r="D431" s="16" t="str">
        <f t="shared" si="6"/>
        <v>11.812</v>
      </c>
      <c r="E431" s="17" t="s">
        <v>464</v>
      </c>
      <c r="F431" s="18">
        <v>7.92</v>
      </c>
      <c r="G431" s="49"/>
      <c r="H431" s="49"/>
    </row>
    <row r="432" spans="1:8" ht="28.25" customHeight="1" x14ac:dyDescent="0.15">
      <c r="A432" s="47" t="s">
        <v>385</v>
      </c>
      <c r="B432" s="14">
        <v>8</v>
      </c>
      <c r="C432" s="15">
        <v>13</v>
      </c>
      <c r="D432" s="16" t="str">
        <f t="shared" si="6"/>
        <v>11.813</v>
      </c>
      <c r="E432" s="17" t="s">
        <v>465</v>
      </c>
      <c r="F432" s="20">
        <v>28.8</v>
      </c>
      <c r="G432" s="49"/>
      <c r="H432" s="49"/>
    </row>
    <row r="433" spans="1:8" ht="28.25" customHeight="1" x14ac:dyDescent="0.15">
      <c r="A433" s="47" t="s">
        <v>385</v>
      </c>
      <c r="B433" s="14">
        <v>8</v>
      </c>
      <c r="C433" s="15">
        <v>14</v>
      </c>
      <c r="D433" s="16" t="str">
        <f t="shared" si="6"/>
        <v>11.814</v>
      </c>
      <c r="E433" s="17" t="s">
        <v>466</v>
      </c>
      <c r="F433" s="20">
        <v>45.6</v>
      </c>
      <c r="G433" s="49"/>
      <c r="H433" s="49"/>
    </row>
    <row r="434" spans="1:8" ht="28.25" customHeight="1" x14ac:dyDescent="0.15">
      <c r="A434" s="47" t="s">
        <v>385</v>
      </c>
      <c r="B434" s="14">
        <v>9</v>
      </c>
      <c r="C434" s="15">
        <v>1</v>
      </c>
      <c r="D434" s="16" t="str">
        <f t="shared" si="6"/>
        <v>11.91</v>
      </c>
      <c r="E434" s="17" t="s">
        <v>467</v>
      </c>
      <c r="F434" s="20">
        <v>132</v>
      </c>
      <c r="G434" s="49"/>
      <c r="H434" s="49"/>
    </row>
    <row r="435" spans="1:8" ht="28.25" customHeight="1" x14ac:dyDescent="0.15">
      <c r="A435" s="47" t="s">
        <v>385</v>
      </c>
      <c r="B435" s="14">
        <v>9</v>
      </c>
      <c r="C435" s="15">
        <v>2</v>
      </c>
      <c r="D435" s="16" t="str">
        <f t="shared" si="6"/>
        <v>11.92</v>
      </c>
      <c r="E435" s="17" t="s">
        <v>468</v>
      </c>
      <c r="F435" s="20">
        <v>186</v>
      </c>
      <c r="G435" s="49"/>
      <c r="H435" s="49"/>
    </row>
    <row r="436" spans="1:8" ht="28.25" customHeight="1" x14ac:dyDescent="0.15">
      <c r="A436" s="47" t="s">
        <v>385</v>
      </c>
      <c r="B436" s="14">
        <v>9</v>
      </c>
      <c r="C436" s="15">
        <v>3</v>
      </c>
      <c r="D436" s="16" t="str">
        <f t="shared" si="6"/>
        <v>11.93</v>
      </c>
      <c r="E436" s="17" t="s">
        <v>469</v>
      </c>
      <c r="F436" s="20">
        <v>294</v>
      </c>
      <c r="G436" s="49"/>
      <c r="H436" s="49"/>
    </row>
    <row r="437" spans="1:8" ht="28.25" customHeight="1" x14ac:dyDescent="0.15">
      <c r="A437" s="47" t="s">
        <v>385</v>
      </c>
      <c r="B437" s="14">
        <v>9</v>
      </c>
      <c r="C437" s="15">
        <v>4</v>
      </c>
      <c r="D437" s="16" t="str">
        <f t="shared" si="6"/>
        <v>11.94</v>
      </c>
      <c r="E437" s="17" t="s">
        <v>470</v>
      </c>
      <c r="F437" s="20">
        <v>456</v>
      </c>
      <c r="G437" s="49"/>
      <c r="H437" s="49"/>
    </row>
    <row r="438" spans="1:8" ht="21.5" customHeight="1" x14ac:dyDescent="0.15">
      <c r="A438" s="47" t="s">
        <v>385</v>
      </c>
      <c r="B438" s="14">
        <v>9</v>
      </c>
      <c r="C438" s="15">
        <v>5</v>
      </c>
      <c r="D438" s="16" t="str">
        <f t="shared" si="6"/>
        <v>11.95</v>
      </c>
      <c r="E438" s="17" t="s">
        <v>471</v>
      </c>
      <c r="F438" s="20">
        <v>38.4</v>
      </c>
      <c r="G438" s="49"/>
      <c r="H438" s="49"/>
    </row>
    <row r="439" spans="1:8" ht="28.25" customHeight="1" x14ac:dyDescent="0.15">
      <c r="A439" s="47" t="s">
        <v>385</v>
      </c>
      <c r="B439" s="14">
        <v>9</v>
      </c>
      <c r="C439" s="15">
        <v>6</v>
      </c>
      <c r="D439" s="16" t="str">
        <f t="shared" si="6"/>
        <v>11.96</v>
      </c>
      <c r="E439" s="17" t="s">
        <v>472</v>
      </c>
      <c r="F439" s="20">
        <v>222</v>
      </c>
      <c r="G439" s="49"/>
      <c r="H439" s="49"/>
    </row>
    <row r="440" spans="1:8" ht="21.5" customHeight="1" x14ac:dyDescent="0.15">
      <c r="A440" s="47" t="s">
        <v>385</v>
      </c>
      <c r="B440" s="14">
        <v>9</v>
      </c>
      <c r="C440" s="15">
        <v>7</v>
      </c>
      <c r="D440" s="16" t="str">
        <f t="shared" si="6"/>
        <v>11.97</v>
      </c>
      <c r="E440" s="17" t="s">
        <v>459</v>
      </c>
      <c r="F440" s="18">
        <v>7.92</v>
      </c>
      <c r="G440" s="49"/>
      <c r="H440" s="49"/>
    </row>
    <row r="441" spans="1:8" ht="28.25" customHeight="1" x14ac:dyDescent="0.15">
      <c r="A441" s="47" t="s">
        <v>385</v>
      </c>
      <c r="B441" s="14">
        <v>10</v>
      </c>
      <c r="C441" s="15">
        <v>1</v>
      </c>
      <c r="D441" s="16" t="str">
        <f t="shared" si="6"/>
        <v>11.101</v>
      </c>
      <c r="E441" s="17" t="s">
        <v>473</v>
      </c>
      <c r="F441" s="18">
        <v>247.27</v>
      </c>
      <c r="G441" s="49"/>
      <c r="H441" s="49"/>
    </row>
    <row r="442" spans="1:8" ht="21.5" customHeight="1" x14ac:dyDescent="0.15">
      <c r="A442" s="47" t="s">
        <v>385</v>
      </c>
      <c r="B442" s="14">
        <v>10</v>
      </c>
      <c r="C442" s="15">
        <v>2</v>
      </c>
      <c r="D442" s="16" t="str">
        <f t="shared" si="6"/>
        <v>11.102</v>
      </c>
      <c r="E442" s="17" t="s">
        <v>474</v>
      </c>
      <c r="F442" s="18">
        <v>176.62</v>
      </c>
      <c r="G442" s="49"/>
      <c r="H442" s="49"/>
    </row>
    <row r="443" spans="1:8" ht="21.5" customHeight="1" x14ac:dyDescent="0.15">
      <c r="A443" s="47" t="s">
        <v>385</v>
      </c>
      <c r="B443" s="14">
        <v>10</v>
      </c>
      <c r="C443" s="15">
        <v>3</v>
      </c>
      <c r="D443" s="16" t="str">
        <f t="shared" si="6"/>
        <v>11.103</v>
      </c>
      <c r="E443" s="17" t="s">
        <v>475</v>
      </c>
      <c r="F443" s="20">
        <v>55</v>
      </c>
      <c r="G443" s="49"/>
      <c r="H443" s="49"/>
    </row>
    <row r="444" spans="1:8" ht="21.5" customHeight="1" x14ac:dyDescent="0.15">
      <c r="A444" s="47" t="s">
        <v>385</v>
      </c>
      <c r="B444" s="14">
        <v>10</v>
      </c>
      <c r="C444" s="15">
        <v>4</v>
      </c>
      <c r="D444" s="16" t="str">
        <f t="shared" si="6"/>
        <v>11.104</v>
      </c>
      <c r="E444" s="17" t="s">
        <v>476</v>
      </c>
      <c r="F444" s="20">
        <v>18</v>
      </c>
      <c r="G444" s="49"/>
      <c r="H444" s="49"/>
    </row>
    <row r="445" spans="1:8" ht="21.5" customHeight="1" x14ac:dyDescent="0.15">
      <c r="A445" s="47" t="s">
        <v>477</v>
      </c>
      <c r="B445" s="14">
        <v>1</v>
      </c>
      <c r="C445" s="15">
        <v>1</v>
      </c>
      <c r="D445" s="16" t="str">
        <f t="shared" si="6"/>
        <v>12.11</v>
      </c>
      <c r="E445" s="17" t="s">
        <v>478</v>
      </c>
      <c r="F445" s="18">
        <v>3.53</v>
      </c>
      <c r="G445" s="49"/>
      <c r="H445" s="49"/>
    </row>
    <row r="446" spans="1:8" ht="21.5" customHeight="1" x14ac:dyDescent="0.15">
      <c r="A446" s="47" t="s">
        <v>477</v>
      </c>
      <c r="B446" s="14">
        <v>1</v>
      </c>
      <c r="C446" s="15">
        <v>2</v>
      </c>
      <c r="D446" s="16" t="str">
        <f t="shared" si="6"/>
        <v>12.12</v>
      </c>
      <c r="E446" s="17" t="s">
        <v>479</v>
      </c>
      <c r="F446" s="20">
        <v>9.5</v>
      </c>
      <c r="G446" s="49"/>
      <c r="H446" s="49"/>
    </row>
    <row r="447" spans="1:8" ht="21.5" customHeight="1" x14ac:dyDescent="0.15">
      <c r="A447" s="47" t="s">
        <v>477</v>
      </c>
      <c r="B447" s="14">
        <v>1</v>
      </c>
      <c r="C447" s="15">
        <v>3</v>
      </c>
      <c r="D447" s="16" t="str">
        <f t="shared" si="6"/>
        <v>12.13</v>
      </c>
      <c r="E447" s="17" t="s">
        <v>480</v>
      </c>
      <c r="F447" s="18">
        <v>3.41</v>
      </c>
      <c r="G447" s="49"/>
      <c r="H447" s="49"/>
    </row>
    <row r="448" spans="1:8" ht="21.5" customHeight="1" x14ac:dyDescent="0.15">
      <c r="A448" s="47" t="s">
        <v>477</v>
      </c>
      <c r="B448" s="14">
        <v>1</v>
      </c>
      <c r="C448" s="15">
        <v>4</v>
      </c>
      <c r="D448" s="16" t="str">
        <f t="shared" si="6"/>
        <v>12.14</v>
      </c>
      <c r="E448" s="17" t="s">
        <v>481</v>
      </c>
      <c r="F448" s="18">
        <v>3.53</v>
      </c>
      <c r="G448" s="49"/>
      <c r="H448" s="49"/>
    </row>
    <row r="449" spans="1:8" ht="21.5" customHeight="1" x14ac:dyDescent="0.15">
      <c r="A449" s="47" t="s">
        <v>477</v>
      </c>
      <c r="B449" s="14">
        <v>1</v>
      </c>
      <c r="C449" s="15">
        <v>5</v>
      </c>
      <c r="D449" s="16" t="str">
        <f t="shared" si="6"/>
        <v>12.15</v>
      </c>
      <c r="E449" s="17" t="s">
        <v>482</v>
      </c>
      <c r="F449" s="18">
        <v>4.71</v>
      </c>
      <c r="G449" s="49"/>
      <c r="H449" s="49"/>
    </row>
    <row r="450" spans="1:8" ht="21.5" customHeight="1" x14ac:dyDescent="0.15">
      <c r="A450" s="47" t="s">
        <v>477</v>
      </c>
      <c r="B450" s="14">
        <v>1</v>
      </c>
      <c r="C450" s="15">
        <v>6</v>
      </c>
      <c r="D450" s="16" t="str">
        <f t="shared" ref="D450:D513" si="7">CONCATENATE(A450,B450,C450)</f>
        <v>12.16</v>
      </c>
      <c r="E450" s="17" t="s">
        <v>483</v>
      </c>
      <c r="F450" s="18">
        <v>4.83</v>
      </c>
      <c r="G450" s="49"/>
      <c r="H450" s="49"/>
    </row>
    <row r="451" spans="1:8" ht="21.5" customHeight="1" x14ac:dyDescent="0.15">
      <c r="A451" s="47" t="s">
        <v>477</v>
      </c>
      <c r="B451" s="14">
        <v>1</v>
      </c>
      <c r="C451" s="15">
        <v>7</v>
      </c>
      <c r="D451" s="16" t="str">
        <f t="shared" si="7"/>
        <v>12.17</v>
      </c>
      <c r="E451" s="17" t="s">
        <v>484</v>
      </c>
      <c r="F451" s="20">
        <v>6.5</v>
      </c>
      <c r="G451" s="49"/>
      <c r="H451" s="49"/>
    </row>
    <row r="452" spans="1:8" ht="21.5" customHeight="1" x14ac:dyDescent="0.15">
      <c r="A452" s="47" t="s">
        <v>477</v>
      </c>
      <c r="B452" s="14">
        <v>2</v>
      </c>
      <c r="C452" s="15">
        <v>1</v>
      </c>
      <c r="D452" s="16" t="str">
        <f t="shared" si="7"/>
        <v>12.21</v>
      </c>
      <c r="E452" s="17" t="s">
        <v>485</v>
      </c>
      <c r="F452" s="18">
        <v>4.25</v>
      </c>
      <c r="G452" s="49"/>
      <c r="H452" s="49"/>
    </row>
    <row r="453" spans="1:8" ht="21.5" customHeight="1" x14ac:dyDescent="0.15">
      <c r="A453" s="47" t="s">
        <v>477</v>
      </c>
      <c r="B453" s="14">
        <v>2</v>
      </c>
      <c r="C453" s="15">
        <v>2</v>
      </c>
      <c r="D453" s="16" t="str">
        <f t="shared" si="7"/>
        <v>12.22</v>
      </c>
      <c r="E453" s="17" t="s">
        <v>486</v>
      </c>
      <c r="F453" s="20">
        <v>5.3</v>
      </c>
      <c r="G453" s="49"/>
      <c r="H453" s="49"/>
    </row>
    <row r="454" spans="1:8" ht="28.25" customHeight="1" x14ac:dyDescent="0.15">
      <c r="A454" s="47" t="s">
        <v>477</v>
      </c>
      <c r="B454" s="14">
        <v>2</v>
      </c>
      <c r="C454" s="15">
        <v>3</v>
      </c>
      <c r="D454" s="16" t="str">
        <f t="shared" si="7"/>
        <v>12.23</v>
      </c>
      <c r="E454" s="17" t="s">
        <v>487</v>
      </c>
      <c r="F454" s="18">
        <v>6.46</v>
      </c>
      <c r="G454" s="49"/>
      <c r="H454" s="49"/>
    </row>
    <row r="455" spans="1:8" ht="21.5" customHeight="1" x14ac:dyDescent="0.15">
      <c r="A455" s="47" t="s">
        <v>477</v>
      </c>
      <c r="B455" s="14">
        <v>2</v>
      </c>
      <c r="C455" s="15">
        <v>4</v>
      </c>
      <c r="D455" s="16" t="str">
        <f t="shared" si="7"/>
        <v>12.24</v>
      </c>
      <c r="E455" s="17" t="s">
        <v>488</v>
      </c>
      <c r="F455" s="18">
        <v>2.54</v>
      </c>
      <c r="G455" s="49"/>
      <c r="H455" s="49"/>
    </row>
    <row r="456" spans="1:8" ht="21.5" customHeight="1" x14ac:dyDescent="0.15">
      <c r="A456" s="47" t="s">
        <v>477</v>
      </c>
      <c r="B456" s="14">
        <v>2</v>
      </c>
      <c r="C456" s="15">
        <v>5</v>
      </c>
      <c r="D456" s="16" t="str">
        <f t="shared" si="7"/>
        <v>12.25</v>
      </c>
      <c r="E456" s="17" t="s">
        <v>489</v>
      </c>
      <c r="F456" s="18">
        <v>7.06</v>
      </c>
      <c r="G456" s="49"/>
      <c r="H456" s="49"/>
    </row>
    <row r="457" spans="1:8" ht="21.5" customHeight="1" x14ac:dyDescent="0.15">
      <c r="A457" s="47" t="s">
        <v>477</v>
      </c>
      <c r="B457" s="14">
        <v>2</v>
      </c>
      <c r="C457" s="15">
        <v>6</v>
      </c>
      <c r="D457" s="16" t="str">
        <f t="shared" si="7"/>
        <v>12.26</v>
      </c>
      <c r="E457" s="17" t="s">
        <v>490</v>
      </c>
      <c r="F457" s="18">
        <v>7.65</v>
      </c>
      <c r="G457" s="49"/>
      <c r="H457" s="49"/>
    </row>
    <row r="458" spans="1:8" ht="21.5" customHeight="1" x14ac:dyDescent="0.15">
      <c r="A458" s="47" t="s">
        <v>477</v>
      </c>
      <c r="B458" s="14">
        <v>2</v>
      </c>
      <c r="C458" s="15">
        <v>7</v>
      </c>
      <c r="D458" s="16" t="str">
        <f t="shared" si="7"/>
        <v>12.27</v>
      </c>
      <c r="E458" s="17" t="s">
        <v>491</v>
      </c>
      <c r="F458" s="18">
        <v>20.55</v>
      </c>
      <c r="G458" s="49"/>
      <c r="H458" s="49"/>
    </row>
    <row r="459" spans="1:8" ht="21.5" customHeight="1" x14ac:dyDescent="0.15">
      <c r="A459" s="47" t="s">
        <v>477</v>
      </c>
      <c r="B459" s="14">
        <v>3</v>
      </c>
      <c r="C459" s="15">
        <v>1</v>
      </c>
      <c r="D459" s="16" t="str">
        <f t="shared" si="7"/>
        <v>12.31</v>
      </c>
      <c r="E459" s="17" t="s">
        <v>492</v>
      </c>
      <c r="F459" s="18">
        <v>9.42</v>
      </c>
      <c r="G459" s="49"/>
      <c r="H459" s="49"/>
    </row>
    <row r="460" spans="1:8" ht="21.5" customHeight="1" x14ac:dyDescent="0.15">
      <c r="A460" s="47" t="s">
        <v>477</v>
      </c>
      <c r="B460" s="14">
        <v>3</v>
      </c>
      <c r="C460" s="15">
        <v>2</v>
      </c>
      <c r="D460" s="16" t="str">
        <f t="shared" si="7"/>
        <v>12.32</v>
      </c>
      <c r="E460" s="17" t="s">
        <v>493</v>
      </c>
      <c r="F460" s="18">
        <v>15.31</v>
      </c>
      <c r="G460" s="49"/>
      <c r="H460" s="49"/>
    </row>
    <row r="461" spans="1:8" ht="21.5" customHeight="1" x14ac:dyDescent="0.15">
      <c r="A461" s="47" t="s">
        <v>477</v>
      </c>
      <c r="B461" s="14">
        <v>4</v>
      </c>
      <c r="C461" s="15">
        <v>1</v>
      </c>
      <c r="D461" s="16" t="str">
        <f t="shared" si="7"/>
        <v>12.41</v>
      </c>
      <c r="E461" s="17" t="s">
        <v>494</v>
      </c>
      <c r="F461" s="18">
        <v>9.42</v>
      </c>
      <c r="G461" s="49"/>
      <c r="H461" s="49"/>
    </row>
    <row r="462" spans="1:8" ht="21.5" customHeight="1" x14ac:dyDescent="0.15">
      <c r="A462" s="47" t="s">
        <v>477</v>
      </c>
      <c r="B462" s="14">
        <v>4</v>
      </c>
      <c r="C462" s="15">
        <v>1</v>
      </c>
      <c r="D462" s="16" t="str">
        <f t="shared" si="7"/>
        <v>12.41</v>
      </c>
      <c r="E462" s="17" t="s">
        <v>495</v>
      </c>
      <c r="F462" s="20">
        <v>16.2</v>
      </c>
      <c r="G462" s="49"/>
      <c r="H462" s="49"/>
    </row>
    <row r="463" spans="1:8" ht="21.5" customHeight="1" x14ac:dyDescent="0.15">
      <c r="A463" s="47" t="s">
        <v>477</v>
      </c>
      <c r="B463" s="14">
        <v>4</v>
      </c>
      <c r="C463" s="15">
        <v>2</v>
      </c>
      <c r="D463" s="16" t="str">
        <f t="shared" si="7"/>
        <v>12.42</v>
      </c>
      <c r="E463" s="17" t="s">
        <v>496</v>
      </c>
      <c r="F463" s="18">
        <v>3.53</v>
      </c>
      <c r="G463" s="49"/>
      <c r="H463" s="49"/>
    </row>
    <row r="464" spans="1:8" ht="21.5" customHeight="1" x14ac:dyDescent="0.15">
      <c r="A464" s="47" t="s">
        <v>477</v>
      </c>
      <c r="B464" s="14">
        <v>4</v>
      </c>
      <c r="C464" s="15">
        <v>3</v>
      </c>
      <c r="D464" s="16" t="str">
        <f t="shared" si="7"/>
        <v>12.43</v>
      </c>
      <c r="E464" s="17" t="s">
        <v>497</v>
      </c>
      <c r="F464" s="18">
        <v>4.12</v>
      </c>
      <c r="G464" s="49"/>
      <c r="H464" s="49"/>
    </row>
    <row r="465" spans="1:8" ht="21.5" customHeight="1" x14ac:dyDescent="0.15">
      <c r="A465" s="47" t="s">
        <v>477</v>
      </c>
      <c r="B465" s="14">
        <v>4</v>
      </c>
      <c r="C465" s="15">
        <v>4</v>
      </c>
      <c r="D465" s="16" t="str">
        <f t="shared" si="7"/>
        <v>12.44</v>
      </c>
      <c r="E465" s="17" t="s">
        <v>498</v>
      </c>
      <c r="F465" s="18">
        <v>11.77</v>
      </c>
      <c r="G465" s="49"/>
      <c r="H465" s="49"/>
    </row>
    <row r="466" spans="1:8" ht="21.5" customHeight="1" x14ac:dyDescent="0.15">
      <c r="A466" s="47" t="s">
        <v>477</v>
      </c>
      <c r="B466" s="14">
        <v>4</v>
      </c>
      <c r="C466" s="15">
        <v>5</v>
      </c>
      <c r="D466" s="16" t="str">
        <f t="shared" si="7"/>
        <v>12.45</v>
      </c>
      <c r="E466" s="17" t="s">
        <v>499</v>
      </c>
      <c r="F466" s="18">
        <v>23.55</v>
      </c>
      <c r="G466" s="49"/>
      <c r="H466" s="49"/>
    </row>
    <row r="467" spans="1:8" ht="28.25" customHeight="1" x14ac:dyDescent="0.15">
      <c r="A467" s="47" t="s">
        <v>477</v>
      </c>
      <c r="B467" s="14">
        <v>4</v>
      </c>
      <c r="C467" s="15">
        <v>6</v>
      </c>
      <c r="D467" s="16" t="str">
        <f t="shared" si="7"/>
        <v>12.46</v>
      </c>
      <c r="E467" s="17" t="s">
        <v>500</v>
      </c>
      <c r="F467" s="20">
        <v>35</v>
      </c>
      <c r="G467" s="49"/>
      <c r="H467" s="49"/>
    </row>
    <row r="468" spans="1:8" ht="21.5" customHeight="1" x14ac:dyDescent="0.15">
      <c r="A468" s="47" t="s">
        <v>477</v>
      </c>
      <c r="B468" s="14">
        <v>4</v>
      </c>
      <c r="C468" s="15">
        <v>7</v>
      </c>
      <c r="D468" s="16" t="str">
        <f t="shared" si="7"/>
        <v>12.47</v>
      </c>
      <c r="E468" s="17" t="s">
        <v>501</v>
      </c>
      <c r="F468" s="18">
        <v>49.45</v>
      </c>
      <c r="G468" s="49"/>
      <c r="H468" s="49"/>
    </row>
    <row r="469" spans="1:8" ht="21.5" customHeight="1" x14ac:dyDescent="0.15">
      <c r="A469" s="47" t="s">
        <v>477</v>
      </c>
      <c r="B469" s="14">
        <v>5</v>
      </c>
      <c r="C469" s="15">
        <v>1</v>
      </c>
      <c r="D469" s="16" t="str">
        <f t="shared" si="7"/>
        <v>12.51</v>
      </c>
      <c r="E469" s="17" t="s">
        <v>502</v>
      </c>
      <c r="F469" s="18">
        <v>14.13</v>
      </c>
      <c r="G469" s="49"/>
      <c r="H469" s="49"/>
    </row>
    <row r="470" spans="1:8" ht="21.5" customHeight="1" x14ac:dyDescent="0.15">
      <c r="A470" s="47" t="s">
        <v>477</v>
      </c>
      <c r="B470" s="14">
        <v>5</v>
      </c>
      <c r="C470" s="15">
        <v>2</v>
      </c>
      <c r="D470" s="16" t="str">
        <f t="shared" si="7"/>
        <v>12.52</v>
      </c>
      <c r="E470" s="17" t="s">
        <v>503</v>
      </c>
      <c r="F470" s="18">
        <v>3.53</v>
      </c>
      <c r="G470" s="49"/>
      <c r="H470" s="49"/>
    </row>
    <row r="471" spans="1:8" ht="21.5" customHeight="1" x14ac:dyDescent="0.15">
      <c r="A471" s="47" t="s">
        <v>477</v>
      </c>
      <c r="B471" s="14">
        <v>5</v>
      </c>
      <c r="C471" s="15">
        <v>3</v>
      </c>
      <c r="D471" s="16" t="str">
        <f t="shared" si="7"/>
        <v>12.53</v>
      </c>
      <c r="E471" s="17" t="s">
        <v>504</v>
      </c>
      <c r="F471" s="20">
        <v>9.5</v>
      </c>
      <c r="G471" s="49"/>
      <c r="H471" s="49"/>
    </row>
    <row r="472" spans="1:8" ht="21.5" customHeight="1" x14ac:dyDescent="0.15">
      <c r="A472" s="47" t="s">
        <v>477</v>
      </c>
      <c r="B472" s="14">
        <v>5</v>
      </c>
      <c r="C472" s="15">
        <v>4</v>
      </c>
      <c r="D472" s="16" t="str">
        <f t="shared" si="7"/>
        <v>12.54</v>
      </c>
      <c r="E472" s="17" t="s">
        <v>505</v>
      </c>
      <c r="F472" s="18">
        <v>62.41</v>
      </c>
      <c r="G472" s="49"/>
      <c r="H472" s="49"/>
    </row>
    <row r="473" spans="1:8" ht="21.5" customHeight="1" x14ac:dyDescent="0.15">
      <c r="A473" s="47" t="s">
        <v>477</v>
      </c>
      <c r="B473" s="14">
        <v>5</v>
      </c>
      <c r="C473" s="15">
        <v>5</v>
      </c>
      <c r="D473" s="16" t="str">
        <f t="shared" si="7"/>
        <v>12.55</v>
      </c>
      <c r="E473" s="17" t="s">
        <v>506</v>
      </c>
      <c r="F473" s="18">
        <v>78.89</v>
      </c>
      <c r="G473" s="49"/>
      <c r="H473" s="49"/>
    </row>
    <row r="474" spans="1:8" ht="21.5" customHeight="1" x14ac:dyDescent="0.15">
      <c r="A474" s="47" t="s">
        <v>477</v>
      </c>
      <c r="B474" s="14">
        <v>5</v>
      </c>
      <c r="C474" s="15">
        <v>6</v>
      </c>
      <c r="D474" s="16" t="str">
        <f t="shared" si="7"/>
        <v>12.56</v>
      </c>
      <c r="E474" s="17" t="s">
        <v>507</v>
      </c>
      <c r="F474" s="18">
        <v>101.26</v>
      </c>
      <c r="G474" s="49"/>
      <c r="H474" s="49"/>
    </row>
    <row r="475" spans="1:8" ht="21.5" customHeight="1" x14ac:dyDescent="0.15">
      <c r="A475" s="47" t="s">
        <v>477</v>
      </c>
      <c r="B475" s="14">
        <v>5</v>
      </c>
      <c r="C475" s="15">
        <v>7</v>
      </c>
      <c r="D475" s="16" t="str">
        <f t="shared" si="7"/>
        <v>12.57</v>
      </c>
      <c r="E475" s="17" t="s">
        <v>508</v>
      </c>
      <c r="F475" s="18">
        <v>23.58</v>
      </c>
      <c r="G475" s="49"/>
      <c r="H475" s="49"/>
    </row>
    <row r="476" spans="1:8" ht="21.5" customHeight="1" x14ac:dyDescent="0.15">
      <c r="A476" s="47" t="s">
        <v>477</v>
      </c>
      <c r="B476" s="14">
        <v>5</v>
      </c>
      <c r="C476" s="15">
        <v>8</v>
      </c>
      <c r="D476" s="16" t="str">
        <f t="shared" si="7"/>
        <v>12.58</v>
      </c>
      <c r="E476" s="17" t="s">
        <v>509</v>
      </c>
      <c r="F476" s="20">
        <v>15</v>
      </c>
      <c r="G476" s="49"/>
      <c r="H476" s="49"/>
    </row>
    <row r="477" spans="1:8" ht="28.25" customHeight="1" x14ac:dyDescent="0.15">
      <c r="A477" s="47" t="s">
        <v>477</v>
      </c>
      <c r="B477" s="14">
        <v>5</v>
      </c>
      <c r="C477" s="15">
        <v>9</v>
      </c>
      <c r="D477" s="16" t="str">
        <f t="shared" si="7"/>
        <v>12.59</v>
      </c>
      <c r="E477" s="17" t="s">
        <v>510</v>
      </c>
      <c r="F477" s="18">
        <v>15.53</v>
      </c>
      <c r="G477" s="49"/>
      <c r="H477" s="49"/>
    </row>
    <row r="478" spans="1:8" ht="21.5" customHeight="1" x14ac:dyDescent="0.15">
      <c r="A478" s="47" t="s">
        <v>477</v>
      </c>
      <c r="B478" s="14">
        <v>5</v>
      </c>
      <c r="C478" s="15">
        <v>10</v>
      </c>
      <c r="D478" s="16" t="str">
        <f t="shared" si="7"/>
        <v>12.510</v>
      </c>
      <c r="E478" s="17" t="s">
        <v>511</v>
      </c>
      <c r="F478" s="18">
        <v>18.84</v>
      </c>
      <c r="G478" s="49"/>
      <c r="H478" s="49"/>
    </row>
    <row r="479" spans="1:8" ht="28.25" customHeight="1" x14ac:dyDescent="0.15">
      <c r="A479" s="47" t="s">
        <v>477</v>
      </c>
      <c r="B479" s="14">
        <v>5</v>
      </c>
      <c r="C479" s="15">
        <v>11</v>
      </c>
      <c r="D479" s="16" t="str">
        <f t="shared" si="7"/>
        <v>12.511</v>
      </c>
      <c r="E479" s="17" t="s">
        <v>512</v>
      </c>
      <c r="F479" s="18">
        <v>19.66</v>
      </c>
      <c r="G479" s="49"/>
      <c r="H479" s="49"/>
    </row>
    <row r="480" spans="1:8" ht="21.5" customHeight="1" x14ac:dyDescent="0.15">
      <c r="A480" s="47" t="s">
        <v>477</v>
      </c>
      <c r="B480" s="14">
        <v>6</v>
      </c>
      <c r="C480" s="15">
        <v>1</v>
      </c>
      <c r="D480" s="16" t="str">
        <f t="shared" si="7"/>
        <v>12.61</v>
      </c>
      <c r="E480" s="17" t="s">
        <v>513</v>
      </c>
      <c r="F480" s="20">
        <v>8</v>
      </c>
      <c r="G480" s="49"/>
      <c r="H480" s="49"/>
    </row>
    <row r="481" spans="1:8" ht="28.25" customHeight="1" x14ac:dyDescent="0.15">
      <c r="A481" s="47" t="s">
        <v>514</v>
      </c>
      <c r="B481" s="14">
        <v>1</v>
      </c>
      <c r="C481" s="15">
        <v>1</v>
      </c>
      <c r="D481" s="16" t="str">
        <f t="shared" si="7"/>
        <v>13.11</v>
      </c>
      <c r="E481" s="17" t="s">
        <v>515</v>
      </c>
      <c r="F481" s="18">
        <v>11.77</v>
      </c>
      <c r="G481" s="49"/>
      <c r="H481" s="49"/>
    </row>
    <row r="482" spans="1:8" ht="21.5" customHeight="1" x14ac:dyDescent="0.15">
      <c r="A482" s="47" t="s">
        <v>514</v>
      </c>
      <c r="B482" s="14">
        <v>1</v>
      </c>
      <c r="C482" s="15">
        <v>2</v>
      </c>
      <c r="D482" s="16" t="str">
        <f t="shared" si="7"/>
        <v>13.12</v>
      </c>
      <c r="E482" s="17" t="s">
        <v>516</v>
      </c>
      <c r="F482" s="18">
        <v>14.13</v>
      </c>
      <c r="G482" s="49"/>
      <c r="H482" s="49"/>
    </row>
    <row r="483" spans="1:8" ht="21.5" customHeight="1" x14ac:dyDescent="0.15">
      <c r="A483" s="47" t="s">
        <v>514</v>
      </c>
      <c r="B483" s="14">
        <v>1</v>
      </c>
      <c r="C483" s="15">
        <v>3</v>
      </c>
      <c r="D483" s="16" t="str">
        <f t="shared" si="7"/>
        <v>13.13</v>
      </c>
      <c r="E483" s="17" t="s">
        <v>517</v>
      </c>
      <c r="F483" s="20">
        <v>21.6</v>
      </c>
      <c r="G483" s="49"/>
      <c r="H483" s="49"/>
    </row>
    <row r="484" spans="1:8" ht="21.5" customHeight="1" x14ac:dyDescent="0.15">
      <c r="A484" s="47" t="s">
        <v>514</v>
      </c>
      <c r="B484" s="14">
        <v>1</v>
      </c>
      <c r="C484" s="15">
        <v>4</v>
      </c>
      <c r="D484" s="16" t="str">
        <f t="shared" si="7"/>
        <v>13.14</v>
      </c>
      <c r="E484" s="17" t="s">
        <v>518</v>
      </c>
      <c r="F484" s="18">
        <v>41.21</v>
      </c>
      <c r="G484" s="49"/>
      <c r="H484" s="49"/>
    </row>
    <row r="485" spans="1:8" ht="56.5" customHeight="1" x14ac:dyDescent="0.15">
      <c r="A485" s="47" t="s">
        <v>514</v>
      </c>
      <c r="B485" s="14">
        <v>1</v>
      </c>
      <c r="C485" s="15">
        <v>5</v>
      </c>
      <c r="D485" s="16" t="str">
        <f t="shared" si="7"/>
        <v>13.15</v>
      </c>
      <c r="E485" s="17" t="s">
        <v>519</v>
      </c>
      <c r="F485" s="20">
        <v>214</v>
      </c>
      <c r="G485" s="49"/>
      <c r="H485" s="49"/>
    </row>
    <row r="486" spans="1:8" ht="56.5" customHeight="1" x14ac:dyDescent="0.15">
      <c r="A486" s="47" t="s">
        <v>514</v>
      </c>
      <c r="B486" s="14">
        <v>1</v>
      </c>
      <c r="C486" s="15">
        <v>6</v>
      </c>
      <c r="D486" s="16" t="str">
        <f t="shared" si="7"/>
        <v>13.16</v>
      </c>
      <c r="E486" s="17" t="s">
        <v>520</v>
      </c>
      <c r="F486" s="20">
        <v>418</v>
      </c>
      <c r="G486" s="49"/>
      <c r="H486" s="49"/>
    </row>
    <row r="487" spans="1:8" ht="21.5" customHeight="1" x14ac:dyDescent="0.15">
      <c r="A487" s="47" t="s">
        <v>514</v>
      </c>
      <c r="B487" s="14">
        <v>1</v>
      </c>
      <c r="C487" s="15">
        <v>7</v>
      </c>
      <c r="D487" s="16" t="str">
        <f t="shared" si="7"/>
        <v>13.17</v>
      </c>
      <c r="E487" s="17" t="s">
        <v>521</v>
      </c>
      <c r="F487" s="20">
        <v>112</v>
      </c>
      <c r="G487" s="49"/>
      <c r="H487" s="49"/>
    </row>
    <row r="488" spans="1:8" ht="21.5" customHeight="1" x14ac:dyDescent="0.15">
      <c r="A488" s="47" t="s">
        <v>514</v>
      </c>
      <c r="B488" s="14">
        <v>1</v>
      </c>
      <c r="C488" s="15">
        <v>8</v>
      </c>
      <c r="D488" s="16" t="str">
        <f t="shared" si="7"/>
        <v>13.18</v>
      </c>
      <c r="E488" s="17" t="s">
        <v>522</v>
      </c>
      <c r="F488" s="20">
        <v>12</v>
      </c>
      <c r="G488" s="49"/>
      <c r="H488" s="49"/>
    </row>
    <row r="489" spans="1:8" ht="28.25" customHeight="1" x14ac:dyDescent="0.15">
      <c r="A489" s="47" t="s">
        <v>514</v>
      </c>
      <c r="B489" s="14">
        <v>1</v>
      </c>
      <c r="C489" s="15">
        <v>9</v>
      </c>
      <c r="D489" s="16" t="str">
        <f t="shared" si="7"/>
        <v>13.19</v>
      </c>
      <c r="E489" s="17" t="s">
        <v>523</v>
      </c>
      <c r="F489" s="20">
        <v>75</v>
      </c>
      <c r="G489" s="49"/>
      <c r="H489" s="49"/>
    </row>
    <row r="490" spans="1:8" ht="28.25" customHeight="1" x14ac:dyDescent="0.15">
      <c r="A490" s="47" t="s">
        <v>514</v>
      </c>
      <c r="B490" s="14">
        <v>1</v>
      </c>
      <c r="C490" s="15">
        <v>10</v>
      </c>
      <c r="D490" s="16" t="str">
        <f t="shared" si="7"/>
        <v>13.110</v>
      </c>
      <c r="E490" s="17" t="s">
        <v>524</v>
      </c>
      <c r="F490" s="43" t="s">
        <v>525</v>
      </c>
      <c r="G490" s="49"/>
      <c r="H490" s="49"/>
    </row>
    <row r="491" spans="1:8" ht="21.5" customHeight="1" x14ac:dyDescent="0.15">
      <c r="A491" s="47" t="s">
        <v>514</v>
      </c>
      <c r="B491" s="14">
        <v>1</v>
      </c>
      <c r="C491" s="15">
        <v>11</v>
      </c>
      <c r="D491" s="16" t="str">
        <f t="shared" si="7"/>
        <v>13.111</v>
      </c>
      <c r="E491" s="17" t="s">
        <v>526</v>
      </c>
      <c r="F491" s="20">
        <v>6</v>
      </c>
      <c r="G491" s="49"/>
      <c r="H491" s="49"/>
    </row>
    <row r="492" spans="1:8" ht="21.5" customHeight="1" x14ac:dyDescent="0.15">
      <c r="A492" s="47" t="s">
        <v>514</v>
      </c>
      <c r="B492" s="14">
        <v>1</v>
      </c>
      <c r="C492" s="15">
        <v>12</v>
      </c>
      <c r="D492" s="16" t="str">
        <f t="shared" si="7"/>
        <v>13.112</v>
      </c>
      <c r="E492" s="17" t="s">
        <v>527</v>
      </c>
      <c r="F492" s="20">
        <v>14</v>
      </c>
      <c r="G492" s="49"/>
      <c r="H492" s="49"/>
    </row>
    <row r="493" spans="1:8" ht="21.5" customHeight="1" x14ac:dyDescent="0.15">
      <c r="A493" s="51" t="s">
        <v>514</v>
      </c>
      <c r="B493" s="22">
        <v>1</v>
      </c>
      <c r="C493" s="23">
        <v>1</v>
      </c>
      <c r="D493" s="24" t="str">
        <f t="shared" si="7"/>
        <v>13.11</v>
      </c>
      <c r="E493" s="25" t="s">
        <v>528</v>
      </c>
      <c r="F493" s="26">
        <v>385</v>
      </c>
      <c r="G493" s="49"/>
      <c r="H493" s="49"/>
    </row>
    <row r="494" spans="1:8" ht="22" customHeight="1" x14ac:dyDescent="0.15">
      <c r="A494" s="52" t="s">
        <v>529</v>
      </c>
      <c r="B494" s="52" t="s">
        <v>529</v>
      </c>
      <c r="C494" s="52" t="s">
        <v>530</v>
      </c>
      <c r="D494" s="52" t="str">
        <f t="shared" si="7"/>
        <v>YYT</v>
      </c>
      <c r="E494" s="53" t="s">
        <v>531</v>
      </c>
      <c r="F494" s="54">
        <v>40.4</v>
      </c>
      <c r="G494" s="55"/>
      <c r="H494" s="49"/>
    </row>
    <row r="495" spans="1:8" ht="43" customHeight="1" x14ac:dyDescent="0.15">
      <c r="A495" s="52" t="s">
        <v>21</v>
      </c>
      <c r="B495" s="56">
        <v>1</v>
      </c>
      <c r="C495" s="52" t="s">
        <v>530</v>
      </c>
      <c r="D495" s="52" t="str">
        <f t="shared" si="7"/>
        <v>A1T</v>
      </c>
      <c r="E495" s="53" t="s">
        <v>532</v>
      </c>
      <c r="F495" s="54">
        <v>35.35</v>
      </c>
      <c r="G495" s="55"/>
      <c r="H495" s="49"/>
    </row>
    <row r="496" spans="1:8" ht="43" customHeight="1" x14ac:dyDescent="0.15">
      <c r="A496" s="52" t="s">
        <v>21</v>
      </c>
      <c r="B496" s="56">
        <v>2</v>
      </c>
      <c r="C496" s="52" t="s">
        <v>530</v>
      </c>
      <c r="D496" s="52" t="str">
        <f t="shared" si="7"/>
        <v>A2T</v>
      </c>
      <c r="E496" s="53" t="s">
        <v>533</v>
      </c>
      <c r="F496" s="54">
        <v>0</v>
      </c>
      <c r="G496" s="55"/>
      <c r="H496" s="49"/>
    </row>
    <row r="497" spans="1:8" ht="22" customHeight="1" x14ac:dyDescent="0.15">
      <c r="A497" s="52" t="s">
        <v>22</v>
      </c>
      <c r="B497" s="56">
        <v>1</v>
      </c>
      <c r="C497" s="52" t="s">
        <v>530</v>
      </c>
      <c r="D497" s="52" t="str">
        <f t="shared" si="7"/>
        <v>B1T</v>
      </c>
      <c r="E497" s="53" t="s">
        <v>534</v>
      </c>
      <c r="F497" s="54">
        <v>111.1</v>
      </c>
      <c r="G497" s="55"/>
      <c r="H497" s="49"/>
    </row>
    <row r="498" spans="1:8" ht="22" customHeight="1" x14ac:dyDescent="0.15">
      <c r="A498" s="52" t="s">
        <v>22</v>
      </c>
      <c r="B498" s="56">
        <v>2</v>
      </c>
      <c r="C498" s="52" t="s">
        <v>530</v>
      </c>
      <c r="D498" s="52" t="str">
        <f t="shared" si="7"/>
        <v>B2T</v>
      </c>
      <c r="E498" s="53" t="s">
        <v>535</v>
      </c>
      <c r="F498" s="54">
        <v>151.5</v>
      </c>
      <c r="G498" s="55"/>
      <c r="H498" s="49"/>
    </row>
    <row r="499" spans="1:8" ht="29" customHeight="1" x14ac:dyDescent="0.15">
      <c r="A499" s="52" t="s">
        <v>22</v>
      </c>
      <c r="B499" s="56">
        <v>3</v>
      </c>
      <c r="C499" s="52" t="s">
        <v>530</v>
      </c>
      <c r="D499" s="52" t="str">
        <f t="shared" si="7"/>
        <v>B3T</v>
      </c>
      <c r="E499" s="53" t="s">
        <v>536</v>
      </c>
      <c r="F499" s="54">
        <v>36.36</v>
      </c>
      <c r="G499" s="55"/>
      <c r="H499" s="49"/>
    </row>
    <row r="500" spans="1:8" ht="22" customHeight="1" x14ac:dyDescent="0.15">
      <c r="A500" s="52" t="s">
        <v>22</v>
      </c>
      <c r="B500" s="56">
        <v>4</v>
      </c>
      <c r="C500" s="52" t="s">
        <v>530</v>
      </c>
      <c r="D500" s="52" t="str">
        <f t="shared" si="7"/>
        <v>B4T</v>
      </c>
      <c r="E500" s="53" t="s">
        <v>537</v>
      </c>
      <c r="F500" s="54">
        <v>111.1</v>
      </c>
      <c r="G500" s="55"/>
      <c r="H500" s="49"/>
    </row>
    <row r="501" spans="1:8" ht="29" customHeight="1" x14ac:dyDescent="0.15">
      <c r="A501" s="52" t="s">
        <v>22</v>
      </c>
      <c r="B501" s="56">
        <v>5</v>
      </c>
      <c r="C501" s="52" t="s">
        <v>530</v>
      </c>
      <c r="D501" s="52" t="str">
        <f t="shared" si="7"/>
        <v>B5T</v>
      </c>
      <c r="E501" s="53" t="s">
        <v>538</v>
      </c>
      <c r="F501" s="54">
        <v>22.22</v>
      </c>
      <c r="G501" s="55"/>
      <c r="H501" s="49"/>
    </row>
    <row r="502" spans="1:8" ht="22" customHeight="1" x14ac:dyDescent="0.15">
      <c r="A502" s="52" t="s">
        <v>22</v>
      </c>
      <c r="B502" s="56">
        <v>6</v>
      </c>
      <c r="C502" s="52" t="s">
        <v>530</v>
      </c>
      <c r="D502" s="52" t="str">
        <f t="shared" si="7"/>
        <v>B6T</v>
      </c>
      <c r="E502" s="53" t="s">
        <v>539</v>
      </c>
      <c r="F502" s="54">
        <v>146.44999999999999</v>
      </c>
      <c r="G502" s="55"/>
      <c r="H502" s="49"/>
    </row>
    <row r="503" spans="1:8" ht="29" customHeight="1" x14ac:dyDescent="0.15">
      <c r="A503" s="52" t="s">
        <v>22</v>
      </c>
      <c r="B503" s="56">
        <v>7</v>
      </c>
      <c r="C503" s="52" t="s">
        <v>530</v>
      </c>
      <c r="D503" s="52" t="str">
        <f t="shared" si="7"/>
        <v>B7T</v>
      </c>
      <c r="E503" s="53" t="s">
        <v>540</v>
      </c>
      <c r="F503" s="54">
        <v>15.15</v>
      </c>
      <c r="G503" s="55"/>
      <c r="H503" s="49"/>
    </row>
    <row r="504" spans="1:8" ht="29" customHeight="1" x14ac:dyDescent="0.15">
      <c r="A504" s="52" t="s">
        <v>22</v>
      </c>
      <c r="B504" s="56">
        <v>8</v>
      </c>
      <c r="C504" s="52" t="s">
        <v>530</v>
      </c>
      <c r="D504" s="52" t="str">
        <f t="shared" si="7"/>
        <v>B8T</v>
      </c>
      <c r="E504" s="53" t="s">
        <v>541</v>
      </c>
      <c r="F504" s="54">
        <v>111.1</v>
      </c>
      <c r="G504" s="55"/>
      <c r="H504" s="49"/>
    </row>
    <row r="505" spans="1:8" ht="29" customHeight="1" x14ac:dyDescent="0.15">
      <c r="A505" s="52" t="s">
        <v>22</v>
      </c>
      <c r="B505" s="56">
        <v>9</v>
      </c>
      <c r="C505" s="52" t="s">
        <v>530</v>
      </c>
      <c r="D505" s="52" t="str">
        <f t="shared" si="7"/>
        <v>B9T</v>
      </c>
      <c r="E505" s="53" t="s">
        <v>542</v>
      </c>
      <c r="F505" s="54">
        <v>171.7</v>
      </c>
      <c r="G505" s="55"/>
      <c r="H505" s="49"/>
    </row>
    <row r="506" spans="1:8" ht="29" customHeight="1" x14ac:dyDescent="0.15">
      <c r="A506" s="52" t="s">
        <v>22</v>
      </c>
      <c r="B506" s="52" t="s">
        <v>21</v>
      </c>
      <c r="C506" s="52" t="s">
        <v>530</v>
      </c>
      <c r="D506" s="52" t="str">
        <f t="shared" si="7"/>
        <v>BAT</v>
      </c>
      <c r="E506" s="53" t="s">
        <v>543</v>
      </c>
      <c r="F506" s="54">
        <v>27.27</v>
      </c>
      <c r="G506" s="55"/>
      <c r="H506" s="49"/>
    </row>
    <row r="507" spans="1:8" ht="22" customHeight="1" x14ac:dyDescent="0.15">
      <c r="A507" s="52" t="s">
        <v>23</v>
      </c>
      <c r="B507" s="56">
        <v>1</v>
      </c>
      <c r="C507" s="52" t="s">
        <v>530</v>
      </c>
      <c r="D507" s="52" t="str">
        <f t="shared" si="7"/>
        <v>C1T</v>
      </c>
      <c r="E507" s="53" t="s">
        <v>544</v>
      </c>
      <c r="F507" s="54">
        <v>161.6</v>
      </c>
      <c r="G507" s="55"/>
      <c r="H507" s="49"/>
    </row>
    <row r="508" spans="1:8" ht="22" customHeight="1" x14ac:dyDescent="0.15">
      <c r="A508" s="52" t="s">
        <v>23</v>
      </c>
      <c r="B508" s="56">
        <v>2</v>
      </c>
      <c r="C508" s="52" t="s">
        <v>530</v>
      </c>
      <c r="D508" s="52" t="str">
        <f t="shared" si="7"/>
        <v>C2T</v>
      </c>
      <c r="E508" s="53" t="s">
        <v>545</v>
      </c>
      <c r="F508" s="54">
        <v>242.4</v>
      </c>
      <c r="G508" s="55"/>
      <c r="H508" s="49"/>
    </row>
    <row r="509" spans="1:8" ht="29" customHeight="1" x14ac:dyDescent="0.15">
      <c r="A509" s="52" t="s">
        <v>23</v>
      </c>
      <c r="B509" s="56">
        <v>3</v>
      </c>
      <c r="C509" s="52" t="s">
        <v>530</v>
      </c>
      <c r="D509" s="52" t="str">
        <f t="shared" si="7"/>
        <v>C3T</v>
      </c>
      <c r="E509" s="53" t="s">
        <v>546</v>
      </c>
      <c r="F509" s="54">
        <v>45.45</v>
      </c>
      <c r="G509" s="55"/>
      <c r="H509" s="49"/>
    </row>
    <row r="510" spans="1:8" ht="22" customHeight="1" x14ac:dyDescent="0.15">
      <c r="A510" s="52" t="s">
        <v>23</v>
      </c>
      <c r="B510" s="56">
        <v>4</v>
      </c>
      <c r="C510" s="52" t="s">
        <v>530</v>
      </c>
      <c r="D510" s="52" t="str">
        <f t="shared" si="7"/>
        <v>C4T</v>
      </c>
      <c r="E510" s="53" t="s">
        <v>547</v>
      </c>
      <c r="F510" s="54">
        <v>161.16</v>
      </c>
      <c r="G510" s="55"/>
      <c r="H510" s="49"/>
    </row>
    <row r="511" spans="1:8" ht="29" customHeight="1" x14ac:dyDescent="0.15">
      <c r="A511" s="52" t="s">
        <v>23</v>
      </c>
      <c r="B511" s="56">
        <v>5</v>
      </c>
      <c r="C511" s="52" t="s">
        <v>530</v>
      </c>
      <c r="D511" s="52" t="str">
        <f t="shared" si="7"/>
        <v>C5T</v>
      </c>
      <c r="E511" s="53" t="s">
        <v>548</v>
      </c>
      <c r="F511" s="54">
        <v>25.25</v>
      </c>
      <c r="G511" s="55"/>
      <c r="H511" s="49"/>
    </row>
    <row r="512" spans="1:8" ht="22" customHeight="1" x14ac:dyDescent="0.15">
      <c r="A512" s="52" t="s">
        <v>23</v>
      </c>
      <c r="B512" s="56">
        <v>6</v>
      </c>
      <c r="C512" s="52" t="s">
        <v>530</v>
      </c>
      <c r="D512" s="52" t="str">
        <f t="shared" si="7"/>
        <v>C6T</v>
      </c>
      <c r="E512" s="53" t="s">
        <v>549</v>
      </c>
      <c r="F512" s="54">
        <v>242.4</v>
      </c>
      <c r="G512" s="55"/>
      <c r="H512" s="49"/>
    </row>
    <row r="513" spans="1:8" ht="22" customHeight="1" x14ac:dyDescent="0.15">
      <c r="A513" s="52" t="s">
        <v>23</v>
      </c>
      <c r="B513" s="56">
        <v>7</v>
      </c>
      <c r="C513" s="52" t="s">
        <v>530</v>
      </c>
      <c r="D513" s="52" t="str">
        <f t="shared" si="7"/>
        <v>C7T</v>
      </c>
      <c r="E513" s="53" t="s">
        <v>550</v>
      </c>
      <c r="F513" s="54">
        <v>313.10000000000002</v>
      </c>
      <c r="G513" s="55"/>
      <c r="H513" s="49"/>
    </row>
    <row r="514" spans="1:8" ht="29" customHeight="1" x14ac:dyDescent="0.15">
      <c r="A514" s="52" t="s">
        <v>23</v>
      </c>
      <c r="B514" s="56">
        <v>8</v>
      </c>
      <c r="C514" s="52" t="s">
        <v>530</v>
      </c>
      <c r="D514" s="52" t="str">
        <f t="shared" ref="D514:D563" si="8">CONCATENATE(A514,B514,C514)</f>
        <v>C8T</v>
      </c>
      <c r="E514" s="53" t="s">
        <v>551</v>
      </c>
      <c r="F514" s="54">
        <v>34.340000000000003</v>
      </c>
      <c r="G514" s="55"/>
      <c r="H514" s="49"/>
    </row>
    <row r="515" spans="1:8" ht="29" customHeight="1" x14ac:dyDescent="0.15">
      <c r="A515" s="52" t="s">
        <v>24</v>
      </c>
      <c r="B515" s="56">
        <v>1</v>
      </c>
      <c r="C515" s="52" t="s">
        <v>530</v>
      </c>
      <c r="D515" s="52" t="str">
        <f t="shared" si="8"/>
        <v>D1T</v>
      </c>
      <c r="E515" s="53" t="s">
        <v>552</v>
      </c>
      <c r="F515" s="54">
        <v>121.2</v>
      </c>
      <c r="G515" s="55"/>
      <c r="H515" s="49"/>
    </row>
    <row r="516" spans="1:8" ht="29" customHeight="1" x14ac:dyDescent="0.15">
      <c r="A516" s="52" t="s">
        <v>24</v>
      </c>
      <c r="B516" s="56">
        <v>2</v>
      </c>
      <c r="C516" s="52" t="s">
        <v>530</v>
      </c>
      <c r="D516" s="52" t="str">
        <f t="shared" si="8"/>
        <v>D2T</v>
      </c>
      <c r="E516" s="53" t="s">
        <v>553</v>
      </c>
      <c r="F516" s="54">
        <v>161.6</v>
      </c>
      <c r="G516" s="55"/>
      <c r="H516" s="49"/>
    </row>
    <row r="517" spans="1:8" ht="43" customHeight="1" x14ac:dyDescent="0.15">
      <c r="A517" s="52" t="s">
        <v>24</v>
      </c>
      <c r="B517" s="56">
        <v>3</v>
      </c>
      <c r="C517" s="52" t="s">
        <v>530</v>
      </c>
      <c r="D517" s="52" t="str">
        <f t="shared" si="8"/>
        <v>D3T</v>
      </c>
      <c r="E517" s="53" t="s">
        <v>554</v>
      </c>
      <c r="F517" s="54">
        <v>38.380000000000003</v>
      </c>
      <c r="G517" s="55"/>
      <c r="H517" s="49"/>
    </row>
    <row r="518" spans="1:8" ht="29" customHeight="1" x14ac:dyDescent="0.15">
      <c r="A518" s="52" t="s">
        <v>24</v>
      </c>
      <c r="B518" s="56">
        <v>4</v>
      </c>
      <c r="C518" s="52" t="s">
        <v>530</v>
      </c>
      <c r="D518" s="52" t="str">
        <f t="shared" si="8"/>
        <v>D4T</v>
      </c>
      <c r="E518" s="53" t="s">
        <v>555</v>
      </c>
      <c r="F518" s="54">
        <v>151.5</v>
      </c>
      <c r="G518" s="55"/>
      <c r="H518" s="49"/>
    </row>
    <row r="519" spans="1:8" ht="29" customHeight="1" x14ac:dyDescent="0.15">
      <c r="A519" s="52" t="s">
        <v>24</v>
      </c>
      <c r="B519" s="56">
        <v>5</v>
      </c>
      <c r="C519" s="52" t="s">
        <v>530</v>
      </c>
      <c r="D519" s="52" t="str">
        <f t="shared" si="8"/>
        <v>D5T</v>
      </c>
      <c r="E519" s="53" t="s">
        <v>556</v>
      </c>
      <c r="F519" s="54">
        <v>247.45</v>
      </c>
      <c r="G519" s="55"/>
      <c r="H519" s="49"/>
    </row>
    <row r="520" spans="1:8" ht="43" customHeight="1" x14ac:dyDescent="0.15">
      <c r="A520" s="52" t="s">
        <v>24</v>
      </c>
      <c r="B520" s="56">
        <v>6</v>
      </c>
      <c r="C520" s="52" t="s">
        <v>530</v>
      </c>
      <c r="D520" s="52" t="str">
        <f t="shared" si="8"/>
        <v>D6T</v>
      </c>
      <c r="E520" s="53" t="s">
        <v>557</v>
      </c>
      <c r="F520" s="54">
        <v>18.18</v>
      </c>
      <c r="G520" s="55"/>
      <c r="H520" s="49"/>
    </row>
    <row r="521" spans="1:8" ht="22" customHeight="1" x14ac:dyDescent="0.15">
      <c r="A521" s="52" t="s">
        <v>24</v>
      </c>
      <c r="B521" s="56">
        <v>7</v>
      </c>
      <c r="C521" s="52" t="s">
        <v>530</v>
      </c>
      <c r="D521" s="52" t="str">
        <f t="shared" si="8"/>
        <v>D7T</v>
      </c>
      <c r="E521" s="53" t="s">
        <v>558</v>
      </c>
      <c r="F521" s="54">
        <v>151.5</v>
      </c>
      <c r="G521" s="55"/>
      <c r="H521" s="49"/>
    </row>
    <row r="522" spans="1:8" ht="22" customHeight="1" x14ac:dyDescent="0.15">
      <c r="A522" s="52" t="s">
        <v>24</v>
      </c>
      <c r="B522" s="56">
        <v>8</v>
      </c>
      <c r="C522" s="52" t="s">
        <v>530</v>
      </c>
      <c r="D522" s="52" t="str">
        <f t="shared" si="8"/>
        <v>D8T</v>
      </c>
      <c r="E522" s="53" t="s">
        <v>559</v>
      </c>
      <c r="F522" s="54">
        <v>252.5</v>
      </c>
      <c r="G522" s="55"/>
      <c r="H522" s="49"/>
    </row>
    <row r="523" spans="1:8" ht="29" customHeight="1" x14ac:dyDescent="0.15">
      <c r="A523" s="52" t="s">
        <v>24</v>
      </c>
      <c r="B523" s="56">
        <v>9</v>
      </c>
      <c r="C523" s="52" t="s">
        <v>530</v>
      </c>
      <c r="D523" s="52" t="str">
        <f t="shared" si="8"/>
        <v>D9T</v>
      </c>
      <c r="E523" s="53" t="s">
        <v>560</v>
      </c>
      <c r="F523" s="54">
        <v>40.4</v>
      </c>
      <c r="G523" s="55"/>
      <c r="H523" s="49"/>
    </row>
    <row r="524" spans="1:8" ht="43" customHeight="1" x14ac:dyDescent="0.15">
      <c r="A524" s="52" t="s">
        <v>24</v>
      </c>
      <c r="B524" s="52" t="s">
        <v>21</v>
      </c>
      <c r="C524" s="52" t="s">
        <v>530</v>
      </c>
      <c r="D524" s="52" t="str">
        <f t="shared" si="8"/>
        <v>DAT</v>
      </c>
      <c r="E524" s="53" t="s">
        <v>561</v>
      </c>
      <c r="F524" s="54">
        <v>0</v>
      </c>
      <c r="G524" s="55"/>
      <c r="H524" s="49"/>
    </row>
    <row r="525" spans="1:8" ht="43" customHeight="1" x14ac:dyDescent="0.15">
      <c r="A525" s="52" t="s">
        <v>24</v>
      </c>
      <c r="B525" s="52" t="s">
        <v>22</v>
      </c>
      <c r="C525" s="52" t="s">
        <v>530</v>
      </c>
      <c r="D525" s="52" t="str">
        <f t="shared" si="8"/>
        <v>DBT</v>
      </c>
      <c r="E525" s="53" t="s">
        <v>562</v>
      </c>
      <c r="F525" s="54">
        <v>0</v>
      </c>
      <c r="G525" s="55"/>
      <c r="H525" s="49"/>
    </row>
    <row r="526" spans="1:8" ht="43" customHeight="1" x14ac:dyDescent="0.15">
      <c r="A526" s="52" t="s">
        <v>24</v>
      </c>
      <c r="B526" s="52" t="s">
        <v>23</v>
      </c>
      <c r="C526" s="52" t="s">
        <v>530</v>
      </c>
      <c r="D526" s="52" t="str">
        <f t="shared" si="8"/>
        <v>DCT</v>
      </c>
      <c r="E526" s="53" t="s">
        <v>563</v>
      </c>
      <c r="F526" s="54">
        <v>0</v>
      </c>
      <c r="G526" s="55"/>
      <c r="H526" s="49"/>
    </row>
    <row r="527" spans="1:8" ht="22" customHeight="1" x14ac:dyDescent="0.15">
      <c r="A527" s="52" t="s">
        <v>564</v>
      </c>
      <c r="B527" s="56">
        <v>1</v>
      </c>
      <c r="C527" s="52" t="s">
        <v>530</v>
      </c>
      <c r="D527" s="52" t="str">
        <f t="shared" si="8"/>
        <v>E1T</v>
      </c>
      <c r="E527" s="53" t="s">
        <v>565</v>
      </c>
      <c r="F527" s="54">
        <v>50.5</v>
      </c>
      <c r="G527" s="55"/>
      <c r="H527" s="49"/>
    </row>
    <row r="528" spans="1:8" ht="29" customHeight="1" x14ac:dyDescent="0.15">
      <c r="A528" s="52" t="s">
        <v>564</v>
      </c>
      <c r="B528" s="56">
        <v>2</v>
      </c>
      <c r="C528" s="52" t="s">
        <v>530</v>
      </c>
      <c r="D528" s="52" t="str">
        <f t="shared" si="8"/>
        <v>E2T</v>
      </c>
      <c r="E528" s="53" t="s">
        <v>566</v>
      </c>
      <c r="F528" s="54">
        <v>70.7</v>
      </c>
      <c r="G528" s="55"/>
      <c r="H528" s="49"/>
    </row>
    <row r="529" spans="1:8" ht="43" customHeight="1" x14ac:dyDescent="0.15">
      <c r="A529" s="52" t="s">
        <v>564</v>
      </c>
      <c r="B529" s="56">
        <v>3</v>
      </c>
      <c r="C529" s="52" t="s">
        <v>530</v>
      </c>
      <c r="D529" s="52" t="str">
        <f t="shared" si="8"/>
        <v>E3T</v>
      </c>
      <c r="E529" s="53" t="s">
        <v>567</v>
      </c>
      <c r="F529" s="54">
        <v>13.63</v>
      </c>
      <c r="G529" s="55"/>
      <c r="H529" s="49"/>
    </row>
    <row r="530" spans="1:8" ht="43" customHeight="1" x14ac:dyDescent="0.15">
      <c r="A530" s="52" t="s">
        <v>564</v>
      </c>
      <c r="B530" s="56">
        <v>4</v>
      </c>
      <c r="C530" s="52" t="s">
        <v>530</v>
      </c>
      <c r="D530" s="52" t="str">
        <f t="shared" si="8"/>
        <v>E4T</v>
      </c>
      <c r="E530" s="53" t="s">
        <v>568</v>
      </c>
      <c r="F530" s="54">
        <v>13.63</v>
      </c>
      <c r="G530" s="55"/>
      <c r="H530" s="49"/>
    </row>
    <row r="531" spans="1:8" ht="22" customHeight="1" x14ac:dyDescent="0.15">
      <c r="A531" s="52" t="s">
        <v>564</v>
      </c>
      <c r="B531" s="56">
        <v>5</v>
      </c>
      <c r="C531" s="52" t="s">
        <v>530</v>
      </c>
      <c r="D531" s="52" t="str">
        <f t="shared" si="8"/>
        <v>E5T</v>
      </c>
      <c r="E531" s="53" t="s">
        <v>569</v>
      </c>
      <c r="F531" s="54">
        <v>7.57</v>
      </c>
      <c r="G531" s="55"/>
      <c r="H531" s="49"/>
    </row>
    <row r="532" spans="1:8" ht="22" customHeight="1" x14ac:dyDescent="0.15">
      <c r="A532" s="52" t="s">
        <v>564</v>
      </c>
      <c r="B532" s="56">
        <v>6</v>
      </c>
      <c r="C532" s="52" t="s">
        <v>530</v>
      </c>
      <c r="D532" s="52" t="str">
        <f t="shared" si="8"/>
        <v>E6T</v>
      </c>
      <c r="E532" s="53" t="s">
        <v>570</v>
      </c>
      <c r="F532" s="54">
        <v>12.62</v>
      </c>
      <c r="G532" s="55"/>
      <c r="H532" s="49"/>
    </row>
    <row r="533" spans="1:8" ht="22" customHeight="1" x14ac:dyDescent="0.15">
      <c r="A533" s="52" t="s">
        <v>564</v>
      </c>
      <c r="B533" s="56">
        <v>7</v>
      </c>
      <c r="C533" s="52" t="s">
        <v>530</v>
      </c>
      <c r="D533" s="52" t="str">
        <f t="shared" si="8"/>
        <v>E7T</v>
      </c>
      <c r="E533" s="53" t="s">
        <v>571</v>
      </c>
      <c r="F533" s="54">
        <v>24.24</v>
      </c>
      <c r="G533" s="55"/>
      <c r="H533" s="49"/>
    </row>
    <row r="534" spans="1:8" ht="22" customHeight="1" x14ac:dyDescent="0.15">
      <c r="A534" s="52" t="s">
        <v>564</v>
      </c>
      <c r="B534" s="56">
        <v>8</v>
      </c>
      <c r="C534" s="52" t="s">
        <v>530</v>
      </c>
      <c r="D534" s="52" t="str">
        <f t="shared" si="8"/>
        <v>E8T</v>
      </c>
      <c r="E534" s="53" t="s">
        <v>572</v>
      </c>
      <c r="F534" s="54">
        <v>36.86</v>
      </c>
      <c r="G534" s="55"/>
      <c r="H534" s="49"/>
    </row>
    <row r="535" spans="1:8" ht="29" customHeight="1" x14ac:dyDescent="0.15">
      <c r="A535" s="52" t="s">
        <v>573</v>
      </c>
      <c r="B535" s="56">
        <v>1</v>
      </c>
      <c r="C535" s="52" t="s">
        <v>530</v>
      </c>
      <c r="D535" s="52" t="str">
        <f t="shared" si="8"/>
        <v>F1T</v>
      </c>
      <c r="E535" s="53" t="s">
        <v>574</v>
      </c>
      <c r="F535" s="54">
        <v>80.8</v>
      </c>
      <c r="G535" s="55"/>
      <c r="H535" s="49"/>
    </row>
    <row r="536" spans="1:8" ht="43" customHeight="1" x14ac:dyDescent="0.15">
      <c r="A536" s="52" t="s">
        <v>573</v>
      </c>
      <c r="B536" s="56">
        <v>2</v>
      </c>
      <c r="C536" s="52" t="s">
        <v>530</v>
      </c>
      <c r="D536" s="52" t="str">
        <f t="shared" si="8"/>
        <v>F2T</v>
      </c>
      <c r="E536" s="53" t="s">
        <v>575</v>
      </c>
      <c r="F536" s="54">
        <v>35.35</v>
      </c>
      <c r="G536" s="55"/>
      <c r="H536" s="49"/>
    </row>
    <row r="537" spans="1:8" ht="29" customHeight="1" x14ac:dyDescent="0.15">
      <c r="A537" s="52" t="s">
        <v>573</v>
      </c>
      <c r="B537" s="56">
        <v>3</v>
      </c>
      <c r="C537" s="52" t="s">
        <v>530</v>
      </c>
      <c r="D537" s="52" t="str">
        <f t="shared" si="8"/>
        <v>F3T</v>
      </c>
      <c r="E537" s="53" t="s">
        <v>576</v>
      </c>
      <c r="F537" s="54">
        <v>141.4</v>
      </c>
      <c r="G537" s="55"/>
      <c r="H537" s="49"/>
    </row>
    <row r="538" spans="1:8" ht="57" customHeight="1" x14ac:dyDescent="0.15">
      <c r="A538" s="52" t="s">
        <v>573</v>
      </c>
      <c r="B538" s="56">
        <v>4</v>
      </c>
      <c r="C538" s="52" t="s">
        <v>530</v>
      </c>
      <c r="D538" s="52" t="str">
        <f t="shared" si="8"/>
        <v>F4T</v>
      </c>
      <c r="E538" s="53" t="s">
        <v>577</v>
      </c>
      <c r="F538" s="54">
        <v>40.4</v>
      </c>
      <c r="G538" s="55"/>
      <c r="H538" s="49"/>
    </row>
    <row r="539" spans="1:8" ht="43" customHeight="1" x14ac:dyDescent="0.15">
      <c r="A539" s="52" t="s">
        <v>573</v>
      </c>
      <c r="B539" s="56">
        <v>5</v>
      </c>
      <c r="C539" s="52" t="s">
        <v>530</v>
      </c>
      <c r="D539" s="52" t="str">
        <f t="shared" si="8"/>
        <v>F5T</v>
      </c>
      <c r="E539" s="53" t="s">
        <v>578</v>
      </c>
      <c r="F539" s="54">
        <v>50.5</v>
      </c>
      <c r="G539" s="55"/>
      <c r="H539" s="49"/>
    </row>
    <row r="540" spans="1:8" ht="22" customHeight="1" x14ac:dyDescent="0.15">
      <c r="A540" s="52" t="s">
        <v>573</v>
      </c>
      <c r="B540" s="56">
        <v>6</v>
      </c>
      <c r="C540" s="52" t="s">
        <v>530</v>
      </c>
      <c r="D540" s="52" t="str">
        <f t="shared" si="8"/>
        <v>F6T</v>
      </c>
      <c r="E540" s="53" t="s">
        <v>579</v>
      </c>
      <c r="F540" s="54">
        <v>30.5</v>
      </c>
      <c r="G540" s="55"/>
      <c r="H540" s="49"/>
    </row>
    <row r="541" spans="1:8" ht="29" customHeight="1" x14ac:dyDescent="0.15">
      <c r="A541" s="52" t="s">
        <v>573</v>
      </c>
      <c r="B541" s="56">
        <v>7</v>
      </c>
      <c r="C541" s="52" t="s">
        <v>530</v>
      </c>
      <c r="D541" s="52" t="str">
        <f t="shared" si="8"/>
        <v>F7T</v>
      </c>
      <c r="E541" s="53" t="s">
        <v>580</v>
      </c>
      <c r="F541" s="54">
        <v>14.14</v>
      </c>
      <c r="G541" s="55"/>
      <c r="H541" s="49"/>
    </row>
    <row r="542" spans="1:8" ht="22" customHeight="1" x14ac:dyDescent="0.15">
      <c r="A542" s="52" t="s">
        <v>573</v>
      </c>
      <c r="B542" s="56">
        <v>8</v>
      </c>
      <c r="C542" s="52" t="s">
        <v>530</v>
      </c>
      <c r="D542" s="52" t="str">
        <f t="shared" si="8"/>
        <v>F8T</v>
      </c>
      <c r="E542" s="53" t="s">
        <v>581</v>
      </c>
      <c r="F542" s="54">
        <v>90.9</v>
      </c>
      <c r="G542" s="55"/>
      <c r="H542" s="49"/>
    </row>
    <row r="543" spans="1:8" ht="22" customHeight="1" x14ac:dyDescent="0.15">
      <c r="A543" s="52" t="s">
        <v>573</v>
      </c>
      <c r="B543" s="56">
        <v>9</v>
      </c>
      <c r="C543" s="52" t="s">
        <v>530</v>
      </c>
      <c r="D543" s="52" t="str">
        <f t="shared" si="8"/>
        <v>F9T</v>
      </c>
      <c r="E543" s="53" t="s">
        <v>582</v>
      </c>
      <c r="F543" s="54">
        <v>111.1</v>
      </c>
      <c r="G543" s="55"/>
      <c r="H543" s="49"/>
    </row>
    <row r="544" spans="1:8" ht="22" customHeight="1" x14ac:dyDescent="0.15">
      <c r="A544" s="52" t="s">
        <v>573</v>
      </c>
      <c r="B544" s="52" t="s">
        <v>21</v>
      </c>
      <c r="C544" s="52" t="s">
        <v>530</v>
      </c>
      <c r="D544" s="52" t="str">
        <f t="shared" si="8"/>
        <v>FAT</v>
      </c>
      <c r="E544" s="53" t="s">
        <v>583</v>
      </c>
      <c r="F544" s="54">
        <v>90.9</v>
      </c>
      <c r="G544" s="55"/>
      <c r="H544" s="49"/>
    </row>
    <row r="545" spans="1:8" ht="22" customHeight="1" x14ac:dyDescent="0.15">
      <c r="A545" s="52" t="s">
        <v>573</v>
      </c>
      <c r="B545" s="52" t="s">
        <v>22</v>
      </c>
      <c r="C545" s="52" t="s">
        <v>530</v>
      </c>
      <c r="D545" s="52" t="str">
        <f t="shared" si="8"/>
        <v>FBT</v>
      </c>
      <c r="E545" s="53" t="s">
        <v>584</v>
      </c>
      <c r="F545" s="54">
        <v>70.900000000000006</v>
      </c>
      <c r="G545" s="55"/>
      <c r="H545" s="49"/>
    </row>
    <row r="546" spans="1:8" ht="22" customHeight="1" x14ac:dyDescent="0.15">
      <c r="A546" s="52" t="s">
        <v>573</v>
      </c>
      <c r="B546" s="52" t="s">
        <v>23</v>
      </c>
      <c r="C546" s="52" t="s">
        <v>530</v>
      </c>
      <c r="D546" s="52" t="str">
        <f t="shared" si="8"/>
        <v>FCT</v>
      </c>
      <c r="E546" s="53" t="s">
        <v>585</v>
      </c>
      <c r="F546" s="54">
        <v>20.2</v>
      </c>
      <c r="G546" s="55"/>
      <c r="H546" s="49"/>
    </row>
    <row r="547" spans="1:8" ht="22" customHeight="1" x14ac:dyDescent="0.15">
      <c r="A547" s="52" t="s">
        <v>573</v>
      </c>
      <c r="B547" s="52" t="s">
        <v>24</v>
      </c>
      <c r="C547" s="52" t="s">
        <v>530</v>
      </c>
      <c r="D547" s="52" t="str">
        <f t="shared" si="8"/>
        <v>FDT</v>
      </c>
      <c r="E547" s="53" t="s">
        <v>586</v>
      </c>
      <c r="F547" s="54">
        <v>106.05</v>
      </c>
      <c r="G547" s="55"/>
      <c r="H547" s="49"/>
    </row>
    <row r="548" spans="1:8" ht="22" customHeight="1" x14ac:dyDescent="0.15">
      <c r="A548" s="52" t="s">
        <v>573</v>
      </c>
      <c r="B548" s="52" t="s">
        <v>573</v>
      </c>
      <c r="C548" s="52" t="s">
        <v>530</v>
      </c>
      <c r="D548" s="52" t="str">
        <f t="shared" si="8"/>
        <v>FFT</v>
      </c>
      <c r="E548" s="53" t="s">
        <v>587</v>
      </c>
      <c r="F548" s="54">
        <v>58.58</v>
      </c>
      <c r="G548" s="55"/>
      <c r="H548" s="49"/>
    </row>
    <row r="549" spans="1:8" ht="22" customHeight="1" x14ac:dyDescent="0.15">
      <c r="A549" s="52" t="s">
        <v>588</v>
      </c>
      <c r="B549" s="56">
        <v>1</v>
      </c>
      <c r="C549" s="52" t="s">
        <v>530</v>
      </c>
      <c r="D549" s="52" t="str">
        <f t="shared" si="8"/>
        <v>G1T</v>
      </c>
      <c r="E549" s="53" t="s">
        <v>589</v>
      </c>
      <c r="F549" s="54">
        <v>70.7</v>
      </c>
      <c r="G549" s="55"/>
      <c r="H549" s="49"/>
    </row>
    <row r="550" spans="1:8" ht="29" customHeight="1" x14ac:dyDescent="0.15">
      <c r="A550" s="52" t="s">
        <v>588</v>
      </c>
      <c r="B550" s="56">
        <v>2</v>
      </c>
      <c r="C550" s="52" t="s">
        <v>530</v>
      </c>
      <c r="D550" s="52" t="str">
        <f t="shared" si="8"/>
        <v>G2T</v>
      </c>
      <c r="E550" s="53" t="s">
        <v>590</v>
      </c>
      <c r="F550" s="54">
        <v>35.35</v>
      </c>
      <c r="G550" s="55"/>
      <c r="H550" s="49"/>
    </row>
    <row r="551" spans="1:8" ht="22" customHeight="1" x14ac:dyDescent="0.15">
      <c r="A551" s="52" t="s">
        <v>588</v>
      </c>
      <c r="B551" s="56">
        <v>3</v>
      </c>
      <c r="C551" s="52" t="s">
        <v>530</v>
      </c>
      <c r="D551" s="52" t="str">
        <f t="shared" si="8"/>
        <v>G3T</v>
      </c>
      <c r="E551" s="53" t="s">
        <v>591</v>
      </c>
      <c r="F551" s="54">
        <v>212.1</v>
      </c>
      <c r="G551" s="55"/>
      <c r="H551" s="49"/>
    </row>
    <row r="552" spans="1:8" ht="22" customHeight="1" x14ac:dyDescent="0.15">
      <c r="A552" s="52" t="s">
        <v>588</v>
      </c>
      <c r="B552" s="56">
        <v>4</v>
      </c>
      <c r="C552" s="52" t="s">
        <v>530</v>
      </c>
      <c r="D552" s="52" t="str">
        <f t="shared" si="8"/>
        <v>G4T</v>
      </c>
      <c r="E552" s="53" t="s">
        <v>592</v>
      </c>
      <c r="F552" s="54">
        <v>262.60000000000002</v>
      </c>
      <c r="G552" s="55"/>
      <c r="H552" s="49"/>
    </row>
    <row r="553" spans="1:8" ht="22" customHeight="1" x14ac:dyDescent="0.15">
      <c r="A553" s="52" t="s">
        <v>588</v>
      </c>
      <c r="B553" s="56">
        <v>5</v>
      </c>
      <c r="C553" s="52" t="s">
        <v>530</v>
      </c>
      <c r="D553" s="52" t="str">
        <f t="shared" si="8"/>
        <v>G5T</v>
      </c>
      <c r="E553" s="53" t="s">
        <v>593</v>
      </c>
      <c r="F553" s="54">
        <v>313.10000000000002</v>
      </c>
      <c r="G553" s="55"/>
      <c r="H553" s="49"/>
    </row>
    <row r="554" spans="1:8" ht="29" customHeight="1" x14ac:dyDescent="0.15">
      <c r="A554" s="52" t="s">
        <v>588</v>
      </c>
      <c r="B554" s="56">
        <v>6</v>
      </c>
      <c r="C554" s="52" t="s">
        <v>530</v>
      </c>
      <c r="D554" s="52" t="str">
        <f t="shared" si="8"/>
        <v>G6T</v>
      </c>
      <c r="E554" s="53" t="s">
        <v>594</v>
      </c>
      <c r="F554" s="54">
        <v>262.60000000000002</v>
      </c>
      <c r="G554" s="55"/>
      <c r="H554" s="49"/>
    </row>
    <row r="555" spans="1:8" ht="29" customHeight="1" x14ac:dyDescent="0.15">
      <c r="A555" s="52" t="s">
        <v>588</v>
      </c>
      <c r="B555" s="56">
        <v>7</v>
      </c>
      <c r="C555" s="52" t="s">
        <v>530</v>
      </c>
      <c r="D555" s="52" t="str">
        <f t="shared" si="8"/>
        <v>G7T</v>
      </c>
      <c r="E555" s="53" t="s">
        <v>595</v>
      </c>
      <c r="F555" s="54">
        <v>313.10000000000002</v>
      </c>
      <c r="G555" s="55"/>
      <c r="H555" s="49"/>
    </row>
    <row r="556" spans="1:8" ht="22" customHeight="1" x14ac:dyDescent="0.15">
      <c r="A556" s="52" t="s">
        <v>588</v>
      </c>
      <c r="B556" s="56">
        <v>8</v>
      </c>
      <c r="C556" s="52" t="s">
        <v>530</v>
      </c>
      <c r="D556" s="52" t="str">
        <f t="shared" si="8"/>
        <v>G8T</v>
      </c>
      <c r="E556" s="53" t="s">
        <v>596</v>
      </c>
      <c r="F556" s="54">
        <v>30.3</v>
      </c>
      <c r="G556" s="55"/>
      <c r="H556" s="49"/>
    </row>
    <row r="557" spans="1:8" ht="22" customHeight="1" x14ac:dyDescent="0.15">
      <c r="A557" s="52" t="s">
        <v>597</v>
      </c>
      <c r="B557" s="56">
        <v>1</v>
      </c>
      <c r="C557" s="52" t="s">
        <v>530</v>
      </c>
      <c r="D557" s="52" t="str">
        <f t="shared" si="8"/>
        <v>H1T</v>
      </c>
      <c r="E557" s="53" t="s">
        <v>598</v>
      </c>
      <c r="F557" s="54">
        <v>262.60000000000002</v>
      </c>
      <c r="G557" s="55"/>
      <c r="H557" s="49"/>
    </row>
    <row r="558" spans="1:8" ht="22" customHeight="1" x14ac:dyDescent="0.15">
      <c r="A558" s="52" t="s">
        <v>597</v>
      </c>
      <c r="B558" s="56">
        <v>2</v>
      </c>
      <c r="C558" s="52" t="s">
        <v>530</v>
      </c>
      <c r="D558" s="52" t="str">
        <f t="shared" si="8"/>
        <v>H2T</v>
      </c>
      <c r="E558" s="53" t="s">
        <v>599</v>
      </c>
      <c r="F558" s="54">
        <v>136.35</v>
      </c>
      <c r="G558" s="55"/>
      <c r="H558" s="49"/>
    </row>
    <row r="559" spans="1:8" ht="22" customHeight="1" x14ac:dyDescent="0.15">
      <c r="A559" s="52" t="s">
        <v>597</v>
      </c>
      <c r="B559" s="56">
        <v>3</v>
      </c>
      <c r="C559" s="52" t="s">
        <v>530</v>
      </c>
      <c r="D559" s="52" t="str">
        <f t="shared" si="8"/>
        <v>H3T</v>
      </c>
      <c r="E559" s="53" t="s">
        <v>600</v>
      </c>
      <c r="F559" s="54">
        <v>212.1</v>
      </c>
      <c r="G559" s="55"/>
      <c r="H559" s="49"/>
    </row>
    <row r="560" spans="1:8" ht="22" customHeight="1" x14ac:dyDescent="0.15">
      <c r="A560" s="52" t="s">
        <v>597</v>
      </c>
      <c r="B560" s="56">
        <v>4</v>
      </c>
      <c r="C560" s="52" t="s">
        <v>530</v>
      </c>
      <c r="D560" s="52" t="str">
        <f t="shared" si="8"/>
        <v>H4T</v>
      </c>
      <c r="E560" s="53" t="s">
        <v>601</v>
      </c>
      <c r="F560" s="54">
        <v>464.6</v>
      </c>
      <c r="G560" s="55"/>
      <c r="H560" s="49"/>
    </row>
    <row r="561" spans="1:8" ht="43" customHeight="1" x14ac:dyDescent="0.15">
      <c r="A561" s="52" t="s">
        <v>602</v>
      </c>
      <c r="B561" s="56">
        <v>1</v>
      </c>
      <c r="C561" s="52" t="s">
        <v>530</v>
      </c>
      <c r="D561" s="52" t="str">
        <f t="shared" si="8"/>
        <v>V1T</v>
      </c>
      <c r="E561" s="53" t="s">
        <v>603</v>
      </c>
      <c r="F561" s="54">
        <v>30.3</v>
      </c>
      <c r="G561" s="55"/>
      <c r="H561" s="49"/>
    </row>
    <row r="562" spans="1:8" ht="22" customHeight="1" x14ac:dyDescent="0.15">
      <c r="A562" s="52" t="s">
        <v>604</v>
      </c>
      <c r="B562" s="52" t="s">
        <v>21</v>
      </c>
      <c r="C562" s="56">
        <v>8</v>
      </c>
      <c r="D562" s="52" t="str">
        <f t="shared" si="8"/>
        <v>ZA8</v>
      </c>
      <c r="E562" s="53" t="s">
        <v>605</v>
      </c>
      <c r="F562" s="54">
        <v>30.3</v>
      </c>
      <c r="G562" s="55"/>
      <c r="H562" s="49"/>
    </row>
    <row r="563" spans="1:8" ht="22" customHeight="1" x14ac:dyDescent="0.15">
      <c r="A563" s="52" t="s">
        <v>604</v>
      </c>
      <c r="B563" s="52" t="s">
        <v>22</v>
      </c>
      <c r="C563" s="56">
        <v>9</v>
      </c>
      <c r="D563" s="52" t="str">
        <f t="shared" si="8"/>
        <v>ZB9</v>
      </c>
      <c r="E563" s="57" t="s">
        <v>606</v>
      </c>
      <c r="F563" s="58"/>
      <c r="G563" s="55"/>
      <c r="H563" s="49"/>
    </row>
  </sheetData>
  <pageMargins left="1" right="1" top="1" bottom="1" header="0.25" footer="0.25"/>
  <pageSetup orientation="portrait"/>
  <headerFooter>
    <oddFooter>&amp;C&amp;"Helvetica,Regular"&amp;11&amp;K000000&amp;P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Resumen de exportación</vt:lpstr>
      <vt:lpstr>PRESUPUESTO</vt:lpstr>
      <vt:lpstr>base de datos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Pptos_02</dc:creator>
  <cp:lastModifiedBy>manuelmcmar@outlook.es</cp:lastModifiedBy>
  <cp:lastPrinted>2022-08-18T07:52:28Z</cp:lastPrinted>
  <dcterms:created xsi:type="dcterms:W3CDTF">2020-02-20T12:43:33Z</dcterms:created>
  <dcterms:modified xsi:type="dcterms:W3CDTF">2025-07-10T10:54:56Z</dcterms:modified>
</cp:coreProperties>
</file>