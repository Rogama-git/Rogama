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d.docs.live.net/a12e5f2c3675a6bc/Escritorio/"/>
    </mc:Choice>
  </mc:AlternateContent>
  <xr:revisionPtr revIDLastSave="24" documentId="8_{D8897BCF-93A5-42C0-96B7-5C64B1CE34EA}" xr6:coauthVersionLast="47" xr6:coauthVersionMax="47" xr10:uidLastSave="{2C8302A7-54AE-4EF5-A166-5DEE51795BE4}"/>
  <bookViews>
    <workbookView xWindow="-98" yWindow="-98" windowWidth="28996" windowHeight="16395" xr2:uid="{00000000-000D-0000-FFFF-FFFF00000000}"/>
  </bookViews>
  <sheets>
    <sheet name="PRESUPUESTO" sheetId="1" r:id="rId1"/>
    <sheet name="Datos cliente y condiciones" sheetId="2" state="hidden" r:id="rId2"/>
  </sheets>
  <definedNames>
    <definedName name="_xlnm.Print_Area" localSheetId="1">'Datos cliente y condiciones'!$B$1:$T$57</definedName>
    <definedName name="_xlnm.Print_Area" localSheetId="0">PRESUPUESTO!$A$1:$G$608</definedName>
  </definedName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77" i="1" l="1"/>
  <c r="F160" i="1" l="1"/>
  <c r="F161" i="1"/>
  <c r="D604" i="1" l="1"/>
  <c r="F136" i="1" l="1"/>
  <c r="F178" i="1" l="1"/>
  <c r="F186" i="1" l="1"/>
  <c r="F137" i="1" l="1"/>
  <c r="F138" i="1"/>
  <c r="F139" i="1"/>
  <c r="F140" i="1"/>
  <c r="F141" i="1"/>
  <c r="F142" i="1"/>
  <c r="F143" i="1"/>
  <c r="F144" i="1"/>
  <c r="F145" i="1"/>
  <c r="F146" i="1"/>
  <c r="F147" i="1"/>
  <c r="F148" i="1"/>
  <c r="F149" i="1"/>
  <c r="F150" i="1"/>
  <c r="F151" i="1"/>
  <c r="F152" i="1"/>
  <c r="F153" i="1"/>
  <c r="F154" i="1"/>
  <c r="F155" i="1"/>
  <c r="F156" i="1"/>
  <c r="F157" i="1"/>
  <c r="F158" i="1"/>
  <c r="F159" i="1"/>
  <c r="F162" i="1"/>
  <c r="F163" i="1"/>
  <c r="F164" i="1"/>
  <c r="F165" i="1"/>
  <c r="F166" i="1"/>
  <c r="F167" i="1"/>
  <c r="F168" i="1"/>
  <c r="F169" i="1"/>
  <c r="F170" i="1"/>
  <c r="F171" i="1"/>
  <c r="F172" i="1"/>
  <c r="F173" i="1"/>
  <c r="F174" i="1"/>
  <c r="F175" i="1"/>
  <c r="F176" i="1"/>
  <c r="F179" i="1"/>
  <c r="F180" i="1"/>
  <c r="F181" i="1"/>
  <c r="F182" i="1"/>
  <c r="F183" i="1"/>
  <c r="F184" i="1"/>
  <c r="F185" i="1"/>
  <c r="F187" i="1"/>
  <c r="J28" i="1" l="1"/>
  <c r="J29" i="1"/>
  <c r="J24" i="1"/>
  <c r="J27" i="1"/>
  <c r="J26" i="1"/>
  <c r="J25" i="1"/>
  <c r="J23" i="1"/>
  <c r="J22" i="1"/>
  <c r="J21" i="1"/>
  <c r="J30" i="1" l="1"/>
  <c r="E605" i="1" l="1"/>
  <c r="D130" i="1"/>
  <c r="D129" i="1" l="1"/>
  <c r="F603" i="1"/>
  <c r="F604" i="1" l="1"/>
  <c r="D607" i="1" l="1"/>
  <c r="D73" i="1"/>
  <c r="D72" i="1"/>
  <c r="F605" i="1"/>
</calcChain>
</file>

<file path=xl/sharedStrings.xml><?xml version="1.0" encoding="utf-8"?>
<sst xmlns="http://schemas.openxmlformats.org/spreadsheetml/2006/main" count="86" uniqueCount="72">
  <si>
    <t>CONTRATO – PRESUPUESTO – RECIBO MULTISERVICIOS MAPFRE, MULTIMAP S.A.</t>
  </si>
  <si>
    <t>EXPEDIENTE:</t>
  </si>
  <si>
    <t>←</t>
  </si>
  <si>
    <r>
      <rPr>
        <b/>
        <sz val="10"/>
        <rFont val="Arial"/>
        <family val="2"/>
      </rPr>
      <t xml:space="preserve">Nota: </t>
    </r>
    <r>
      <rPr>
        <sz val="10"/>
        <rFont val="Arial"/>
        <family val="2"/>
      </rPr>
      <t>Obligatorio rellenar las casillas en color verde.</t>
    </r>
  </si>
  <si>
    <t>NOMBRE:</t>
  </si>
  <si>
    <t>DIRECCIÓN:</t>
  </si>
  <si>
    <t>LOCALIDAD:</t>
  </si>
  <si>
    <t>CP:</t>
  </si>
  <si>
    <t>CTRA. DE POZUELO, 50 - 1ª PLANTA (EDIFICIO  M-3)</t>
  </si>
  <si>
    <t>FECHA:</t>
  </si>
  <si>
    <t>28222 MAJADAHONDA (MADRID)</t>
  </si>
  <si>
    <t>TELÉFONOS:</t>
  </si>
  <si>
    <t>PARA UNA MEJOR COMPRENSION DEL PRESUPUESTO POR PARTE DEL CLIENTE, SE RECOMIENDA EXPLICACION   DETALLADA.</t>
  </si>
  <si>
    <t xml:space="preserve">Antes de firmar este documento, debe leer la información básica sobre protección de datos que se presenta en la cláusula 5 de las Condiciones Generales de la prestación de servicios llamada “TRATAMIENTO DE DATOS DE CARÁCTER PERSONAL”. </t>
  </si>
  <si>
    <t>Nº EXPEDIENTE:</t>
  </si>
  <si>
    <t>El número de expediente y dirección se rellena al escribirlo en el encabezado del presupuesto.</t>
  </si>
  <si>
    <t>DESCRIPCIÓN DE LA OFERTA Y PROPUESTA ECONÓMICA</t>
  </si>
  <si>
    <t>Ud.</t>
  </si>
  <si>
    <t>Concepto</t>
  </si>
  <si>
    <t>Cantidad</t>
  </si>
  <si>
    <t>Precio ud.</t>
  </si>
  <si>
    <t>Importe</t>
  </si>
  <si>
    <r>
      <t xml:space="preserve">Nota. </t>
    </r>
    <r>
      <rPr>
        <sz val="10"/>
        <rFont val="Arial"/>
        <family val="2"/>
      </rPr>
      <t>La zona marcada en verde es la zona habilitada para rellenar. Escribid a partir de esta fila (136). En cuanto escribes algo se quita el color verde.</t>
    </r>
  </si>
  <si>
    <t>EXPLICACIÓN DE COLUMNAS:</t>
  </si>
  <si>
    <r>
      <t xml:space="preserve">  *   Columna </t>
    </r>
    <r>
      <rPr>
        <b/>
        <sz val="10"/>
        <rFont val="Arial"/>
        <family val="2"/>
      </rPr>
      <t>Ud.</t>
    </r>
    <r>
      <rPr>
        <sz val="10"/>
        <rFont val="Arial"/>
        <family val="2"/>
      </rPr>
      <t xml:space="preserve"> → indicar el número de partida presupuestada.</t>
    </r>
  </si>
  <si>
    <r>
      <t xml:space="preserve">  *   Columna </t>
    </r>
    <r>
      <rPr>
        <b/>
        <sz val="10"/>
        <rFont val="Arial"/>
        <family val="2"/>
      </rPr>
      <t>Concepto</t>
    </r>
    <r>
      <rPr>
        <sz val="10"/>
        <rFont val="Arial"/>
        <family val="2"/>
      </rPr>
      <t xml:space="preserve"> → indicar el tipo de medida, es decir, si son m2, m3, ml, ud, PA, etc. y hacer una descripción adecuada del trabajo a realizar, indicando si incluye materiales y cuales son, marcas, modelos, etc.</t>
    </r>
  </si>
  <si>
    <r>
      <t xml:space="preserve">  *   Columna </t>
    </r>
    <r>
      <rPr>
        <b/>
        <sz val="10"/>
        <rFont val="Arial"/>
        <family val="2"/>
      </rPr>
      <t>Cantidad</t>
    </r>
    <r>
      <rPr>
        <sz val="10"/>
        <rFont val="Arial"/>
        <family val="2"/>
      </rPr>
      <t xml:space="preserve"> → indicar el número de unidades, es decir, 2(m2), 7(m3), 5 (ud), 20(ml), 1(PA), etc.</t>
    </r>
  </si>
  <si>
    <r>
      <t xml:space="preserve">  *   Columna </t>
    </r>
    <r>
      <rPr>
        <b/>
        <sz val="10"/>
        <rFont val="Arial"/>
        <family val="2"/>
      </rPr>
      <t>Precio ud.</t>
    </r>
    <r>
      <rPr>
        <sz val="10"/>
        <rFont val="Arial"/>
        <family val="2"/>
      </rPr>
      <t xml:space="preserve"> → indicar el precio por cada ud.</t>
    </r>
  </si>
  <si>
    <r>
      <t xml:space="preserve">  *   La columna de </t>
    </r>
    <r>
      <rPr>
        <b/>
        <sz val="10"/>
        <rFont val="Arial"/>
        <family val="2"/>
      </rPr>
      <t>Importe</t>
    </r>
    <r>
      <rPr>
        <sz val="10"/>
        <rFont val="Arial"/>
        <family val="2"/>
      </rPr>
      <t xml:space="preserve"> se escribe sola al rellenar la columna de </t>
    </r>
    <r>
      <rPr>
        <b/>
        <sz val="10"/>
        <rFont val="Arial"/>
        <family val="2"/>
      </rPr>
      <t>Cantidad</t>
    </r>
    <r>
      <rPr>
        <sz val="10"/>
        <rFont val="Arial"/>
        <family val="2"/>
      </rPr>
      <t xml:space="preserve"> y la de </t>
    </r>
    <r>
      <rPr>
        <b/>
        <sz val="10"/>
        <rFont val="Arial"/>
        <family val="2"/>
      </rPr>
      <t>Precio ud.</t>
    </r>
  </si>
  <si>
    <t>Total</t>
  </si>
  <si>
    <t>Se suma automáticamente.</t>
  </si>
  <si>
    <r>
      <rPr>
        <b/>
        <sz val="9"/>
        <color rgb="FFFF0000"/>
        <rFont val="Arial"/>
        <family val="2"/>
      </rPr>
      <t>SELECCIONAR TIPO IMPUESTO</t>
    </r>
    <r>
      <rPr>
        <sz val="9"/>
        <rFont val="Arial"/>
        <family val="2"/>
      </rPr>
      <t xml:space="preserve">: </t>
    </r>
    <r>
      <rPr>
        <b/>
        <sz val="9"/>
        <rFont val="Arial"/>
        <family val="2"/>
      </rPr>
      <t>21% IVA Normal / 10% IVA Reducido / 7% IGIC Canarias / 6% ó 4% IPSI Ceuta y Melilla.</t>
    </r>
  </si>
  <si>
    <t>IVA</t>
  </si>
  <si>
    <t>IGIC (Canarias)</t>
  </si>
  <si>
    <t>IPSI (Ceuta/Melilla)</t>
  </si>
  <si>
    <t xml:space="preserve">FECHA DEL PRESUPUESTO:   </t>
  </si>
  <si>
    <t>La fecha se rellena sola.</t>
  </si>
  <si>
    <r>
      <rPr>
        <b/>
        <sz val="16"/>
        <color indexed="9"/>
        <rFont val="Arial"/>
        <family val="2"/>
      </rPr>
      <t>TELÉFONO MULTIMAP E INFORMACIÓN DE FINANCIACIÓN</t>
    </r>
    <r>
      <rPr>
        <b/>
        <sz val="20"/>
        <color indexed="9"/>
        <rFont val="Arial"/>
        <family val="2"/>
      </rPr>
      <t xml:space="preserve">    918 365 365</t>
    </r>
  </si>
  <si>
    <t>ACEPTACIÓN DE LA OFERTA</t>
  </si>
  <si>
    <t>ACEPTACIÓN DEL PRESUPUESTO.</t>
  </si>
  <si>
    <t xml:space="preserve">  CLÁUSULA IVA REDUCIDO.</t>
  </si>
  <si>
    <t>FIRMA DEL PROFESIONAL</t>
  </si>
  <si>
    <t>Firma del cliente aceptando el presupuesto y condiciones generales  de la prestación de servicios del contrato.</t>
  </si>
  <si>
    <t>El firmante (a título particular o en su calidad de Presidente de la Comunidad de Propietarios) manifiesta que no actúa como empresario o profesional, que la vivienda/s objeto de la/s obra/s es/son utilizada/s para su uso particular y que su construcción o rehabilitación concluyó hace más de dos años desde el inicio de la/s obra/s, a los efectos de la aplicación del tipo de IVA reducido previsto en el artículo 91 de la Ley 37/1992.</t>
  </si>
  <si>
    <t xml:space="preserve"> </t>
  </si>
  <si>
    <t>CÓDIGO DE PROFESIONAL</t>
  </si>
  <si>
    <t xml:space="preserve">  </t>
  </si>
  <si>
    <t>FECHA DE ACEPTACIÓN DE LA OFERTA:                /                 /</t>
  </si>
  <si>
    <t>NIF:</t>
  </si>
  <si>
    <t>OPERATIVAS DE PAGO</t>
  </si>
  <si>
    <t>CONDICIONES PARA PAGOS SIN FINANCIACIÓN:</t>
  </si>
  <si>
    <r>
      <t>►</t>
    </r>
    <r>
      <rPr>
        <sz val="10"/>
        <rFont val="Times New Roman"/>
        <family val="1"/>
      </rPr>
      <t xml:space="preserve">   </t>
    </r>
    <r>
      <rPr>
        <b/>
        <sz val="10"/>
        <rFont val="Arial"/>
        <family val="2"/>
      </rPr>
      <t>Hasta 500€</t>
    </r>
    <r>
      <rPr>
        <sz val="10"/>
        <rFont val="Arial"/>
        <family val="2"/>
      </rPr>
      <t xml:space="preserve"> el pago podrá efectuarse en EFECTIVO, TARJETA DE CRÉDITO o RECIBO DOMICILIADO a la finalización de la obra.</t>
    </r>
  </si>
  <si>
    <r>
      <t>►</t>
    </r>
    <r>
      <rPr>
        <sz val="10"/>
        <rFont val="Times New Roman"/>
        <family val="1"/>
      </rPr>
      <t xml:space="preserve">   </t>
    </r>
    <r>
      <rPr>
        <b/>
        <sz val="10"/>
        <rFont val="Arial"/>
        <family val="2"/>
      </rPr>
      <t>De 501€ a 1500€</t>
    </r>
    <r>
      <rPr>
        <sz val="10"/>
        <rFont val="Arial"/>
        <family val="2"/>
      </rPr>
      <t xml:space="preserve"> el pago podrá efectuarse por TARJETA DE CRÉDITO o RECIBO DOMICILIADO a la finalización de la obra.</t>
    </r>
  </si>
  <si>
    <r>
      <t>►</t>
    </r>
    <r>
      <rPr>
        <sz val="10"/>
        <rFont val="Times New Roman"/>
        <family val="1"/>
      </rPr>
      <t xml:space="preserve">   </t>
    </r>
    <r>
      <rPr>
        <b/>
        <sz val="10"/>
        <rFont val="Arial"/>
        <family val="2"/>
      </rPr>
      <t>De 1501€ a 6000€</t>
    </r>
    <r>
      <rPr>
        <sz val="10"/>
        <rFont val="Arial"/>
        <family val="2"/>
      </rPr>
      <t xml:space="preserve"> será necesario para iniciar los trabajos, ingreso adelantado del cliente en cuenta de </t>
    </r>
    <r>
      <rPr>
        <i/>
        <sz val="10"/>
        <rFont val="Arial"/>
        <family val="2"/>
      </rPr>
      <t>MULTISERVICIOS MAPFRE, MULTIMAP S.A.</t>
    </r>
    <r>
      <rPr>
        <sz val="10"/>
        <rFont val="Arial"/>
        <family val="2"/>
      </rPr>
      <t xml:space="preserve"> del 50% del “IMPORTE FINAL” marcado en este presupuesto. El 50% restante del “IMPORTE FINAL” se abonará a la finalización de la obra mediante RECIBO DOMICILIADO.</t>
    </r>
  </si>
  <si>
    <r>
      <t>►</t>
    </r>
    <r>
      <rPr>
        <sz val="10"/>
        <rFont val="Times New Roman"/>
        <family val="1"/>
      </rPr>
      <t xml:space="preserve">   </t>
    </r>
    <r>
      <rPr>
        <b/>
        <sz val="10"/>
        <rFont val="Arial"/>
        <family val="2"/>
      </rPr>
      <t>A partir de 6001€</t>
    </r>
    <r>
      <rPr>
        <sz val="10"/>
        <rFont val="Arial"/>
        <family val="2"/>
      </rPr>
      <t xml:space="preserve"> será necesario para iniciar los trabajos, ingreso adelantado del cliente en cuenta de </t>
    </r>
    <r>
      <rPr>
        <i/>
        <sz val="10"/>
        <rFont val="Arial"/>
        <family val="2"/>
      </rPr>
      <t>MULTISERVICIOS MAPFRE, MULTIMAP S.A.</t>
    </r>
    <r>
      <rPr>
        <sz val="10"/>
        <rFont val="Arial"/>
        <family val="2"/>
      </rPr>
      <t xml:space="preserve"> del 30% del “IMPORTE FINAL” marcado en este presupuesto. Otro 30% del “IMPORTE FINAL” se abonará a mitad de la realización de la obra mediante RECIBO DOMICILIADO y el 40% restante del “IMPORTE FINAL”, a la finalización de la obra, también mediante RECIBO DOMICILIADO.</t>
    </r>
  </si>
  <si>
    <t>─────────────────────────────────────────────────────────────────────────────────</t>
  </si>
  <si>
    <r>
      <t xml:space="preserve">§ </t>
    </r>
    <r>
      <rPr>
        <sz val="10"/>
        <rFont val="Arial"/>
        <family val="2"/>
      </rPr>
      <t>Para pago con TARJETA DE CRÉDITO se realizará a través de plataforma de pagos iniciando el mismo desde la App de colaboradores de Mapfre exclusivamente.</t>
    </r>
  </si>
  <si>
    <r>
      <t xml:space="preserve">§ </t>
    </r>
    <r>
      <rPr>
        <sz val="10"/>
        <rFont val="Arial"/>
        <family val="2"/>
      </rPr>
      <t xml:space="preserve">Para cualquier pago mediante </t>
    </r>
    <r>
      <rPr>
        <b/>
        <sz val="10"/>
        <rFont val="Arial"/>
        <family val="2"/>
      </rPr>
      <t>RECIBO DOMICILIADO</t>
    </r>
    <r>
      <rPr>
        <sz val="10"/>
        <rFont val="Arial"/>
        <family val="2"/>
      </rPr>
      <t xml:space="preserve"> el cliente se compromete a facilitar una cuenta donde se le enviará el RECIBO que corresponda.</t>
    </r>
  </si>
  <si>
    <r>
      <t xml:space="preserve">§ </t>
    </r>
    <r>
      <rPr>
        <b/>
        <sz val="10"/>
        <rFont val="Arial"/>
        <family val="2"/>
      </rPr>
      <t>INGRESO ADELANTADO: el cliente realizará una transferencia o ingreso a la cuenta domiciliada ES77 0049 1803 55 2111766964  del Banco Santander. MULTISERVICIOS MAPFRE, MULTIMAP S.A. entenderá aceptado el presupuesto una vez recibida la cantidad adelantada.</t>
    </r>
  </si>
  <si>
    <t xml:space="preserve">Es necesario que, en “CONCEPTO de la transferencia” se indique el “Nº DE EXPEDIENTE” indicado en la parte superior derecha de este presupuesto. </t>
  </si>
  <si>
    <t xml:space="preserve">El pedido de materiales y la realización de la obra presupuestada en este documento, se inician una vez recibidas las cantidades que correspondan. </t>
  </si>
  <si>
    <r>
      <t>¨</t>
    </r>
    <r>
      <rPr>
        <sz val="8"/>
        <rFont val="Arial"/>
        <family val="2"/>
      </rPr>
      <t xml:space="preserve"> </t>
    </r>
    <r>
      <rPr>
        <b/>
        <sz val="9"/>
        <rFont val="Arial"/>
        <family val="2"/>
      </rPr>
      <t>EFECTIVO (importes inferiores a 500€).</t>
    </r>
    <r>
      <rPr>
        <sz val="9"/>
        <rFont val="Arial"/>
        <family val="2"/>
      </rPr>
      <t xml:space="preserve"> Con la marca de esta casilla, el cliente indica que realiza el pago de la cantidad correspondiente según </t>
    </r>
    <r>
      <rPr>
        <i/>
        <sz val="9"/>
        <rFont val="Arial"/>
        <family val="2"/>
      </rPr>
      <t xml:space="preserve">“CONDICIONES PARA PAGOS SIN FINANCIACIÓN”  </t>
    </r>
    <r>
      <rPr>
        <sz val="9"/>
        <rFont val="Arial"/>
        <family val="2"/>
      </rPr>
      <t xml:space="preserve">mediante EFECTIVO. El profesional recibe el dinero en depósito en nombre de MULTISERVICIOS MAPFRE, MULTIMAP S.A. </t>
    </r>
  </si>
  <si>
    <r>
      <t>Firma del cliente</t>
    </r>
    <r>
      <rPr>
        <sz val="9"/>
        <rFont val="Arial"/>
        <family val="2"/>
      </rPr>
      <t xml:space="preserve"> dando su total conformidad a los trabajos realizados.</t>
    </r>
  </si>
  <si>
    <r>
      <t xml:space="preserve">Cuando corresponda según la opción de pago deseada por el cliente, también con esta firma, el cliente autoriza a MULTISERVICIOS MAPFRE, MULTIMAP S.A. a cobrar el importe conforme a las </t>
    </r>
    <r>
      <rPr>
        <i/>
        <sz val="9"/>
        <rFont val="Arial"/>
        <family val="2"/>
      </rPr>
      <t>“CONDICIONES PARA PAGOS SIN FINANCIACIÓN”</t>
    </r>
    <r>
      <rPr>
        <sz val="9"/>
        <rFont val="Arial"/>
        <family val="2"/>
      </rPr>
      <t>.</t>
    </r>
    <r>
      <rPr>
        <i/>
        <sz val="9"/>
        <rFont val="Arial"/>
        <family val="2"/>
      </rPr>
      <t xml:space="preserve"> </t>
    </r>
  </si>
  <si>
    <t>Firma del profesional como prueba de haber recibido el dinero.</t>
  </si>
  <si>
    <r>
      <t>¨</t>
    </r>
    <r>
      <rPr>
        <sz val="8"/>
        <rFont val="Arial"/>
        <family val="2"/>
      </rPr>
      <t xml:space="preserve"> </t>
    </r>
    <r>
      <rPr>
        <b/>
        <sz val="9"/>
        <rFont val="Arial"/>
        <family val="2"/>
      </rPr>
      <t>TARJETA DE CRÉDITO.</t>
    </r>
    <r>
      <rPr>
        <sz val="9"/>
        <rFont val="Arial"/>
        <family val="2"/>
      </rPr>
      <t xml:space="preserve"> Con la marca de esta casilla, queda justificado el pago de la cantidad correspondiente según CONDICIONES PARA PAGOS SIN FINANCIACIÓN realizado mediante pasarela de pago con tarjeta.</t>
    </r>
  </si>
  <si>
    <t>Nº ORDEN DE TRANSACCIÓN:</t>
  </si>
  <si>
    <r>
      <t>¨</t>
    </r>
    <r>
      <rPr>
        <sz val="8"/>
        <rFont val="Arial"/>
        <family val="2"/>
      </rPr>
      <t xml:space="preserve"> </t>
    </r>
    <r>
      <rPr>
        <b/>
        <sz val="9"/>
        <rFont val="Arial"/>
        <family val="2"/>
      </rPr>
      <t>RECIBO DOMICILIADO.</t>
    </r>
    <r>
      <rPr>
        <sz val="9"/>
        <rFont val="Arial"/>
        <family val="2"/>
      </rPr>
      <t xml:space="preserve"> Con la marca de esta casilla, el cliente indica querer realizar el pago  de las cantidades correspondientes según </t>
    </r>
    <r>
      <rPr>
        <i/>
        <sz val="9"/>
        <rFont val="Arial"/>
        <family val="2"/>
      </rPr>
      <t xml:space="preserve">“CONDICIONES PARA PAGOS SIN FINANCIACIÓN” </t>
    </r>
    <r>
      <rPr>
        <sz val="9"/>
        <rFont val="Arial"/>
        <family val="2"/>
      </rPr>
      <t xml:space="preserve">mediante aceptación de cargo por RECIBO DOMICILIADO en la cuenta domiciliada del cliente: </t>
    </r>
  </si>
  <si>
    <t xml:space="preserve">IBAN: </t>
  </si>
  <si>
    <t>Firma del cliente.</t>
  </si>
  <si>
    <t>CONDICIONES PARA PAGOS CON  FINANCIACIÓN:</t>
  </si>
  <si>
    <r>
      <t>¨</t>
    </r>
    <r>
      <rPr>
        <sz val="8"/>
        <rFont val="Arial"/>
        <family val="2"/>
      </rPr>
      <t xml:space="preserve"> </t>
    </r>
    <r>
      <rPr>
        <sz val="9"/>
        <rFont val="Arial"/>
        <family val="2"/>
      </rPr>
      <t>En el caso de que el cliente solicite financiar la operación, es necesario que MULTISERVICIOS MAPFRE, MULTIMAP S.A. haya recibido la aceptación de la financiación por parte de la entidad financiera, para poder iniciar el pedido de materiales y la realización de la obra presupuestada en este documento.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</si>
</sst>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0.00\ &quot;€&quot;_-;\-* #,##0.00\ &quot;€&quot;_-;_-* &quot;-&quot;??\ &quot;€&quot;_-;_-@_-"/>
    <numFmt numFmtId="164" formatCode="[$-C0A]d\ &quot;de&quot;\ mmmm\ &quot;de&quot;\ yyyy;@"/>
    <numFmt numFmtId="165" formatCode="0.0%"/>
    <numFmt numFmtId="166" formatCode="#,##0.00\ &quot;€&quot;"/>
  </numFmts>
  <fonts count="52" x14ac:knownFonts="1">
    <font>
      <sz val="10"/>
      <name val="Arial"/>
      <family val="2"/>
    </font>
    <font>
      <sz val="10"/>
      <name val="Arial"/>
      <family val="2"/>
    </font>
    <font>
      <b/>
      <sz val="12.5"/>
      <color indexed="10"/>
      <name val="Arial"/>
      <family val="2"/>
    </font>
    <font>
      <sz val="9"/>
      <name val="Arial"/>
      <family val="2"/>
    </font>
    <font>
      <b/>
      <sz val="8.5"/>
      <color indexed="8"/>
      <name val="Arial"/>
      <family val="2"/>
    </font>
    <font>
      <sz val="10"/>
      <color indexed="8"/>
      <name val="Arial"/>
      <family val="2"/>
    </font>
    <font>
      <sz val="18"/>
      <name val="Arial"/>
      <family val="2"/>
    </font>
    <font>
      <b/>
      <sz val="10"/>
      <name val="Arial"/>
      <family val="2"/>
    </font>
    <font>
      <sz val="9"/>
      <color indexed="8"/>
      <name val="Arial"/>
      <family val="2"/>
    </font>
    <font>
      <b/>
      <i/>
      <sz val="11"/>
      <color rgb="FFC00000"/>
      <name val="Arial"/>
      <family val="2"/>
    </font>
    <font>
      <b/>
      <i/>
      <sz val="9"/>
      <color indexed="8"/>
      <name val="Arial"/>
      <family val="2"/>
    </font>
    <font>
      <b/>
      <sz val="9"/>
      <color indexed="8"/>
      <name val="Arial"/>
      <family val="2"/>
    </font>
    <font>
      <u/>
      <sz val="10"/>
      <color indexed="12"/>
      <name val="MS Sans Serif"/>
      <family val="2"/>
    </font>
    <font>
      <u/>
      <sz val="10"/>
      <color indexed="12"/>
      <name val="Arial"/>
      <family val="2"/>
    </font>
    <font>
      <sz val="11"/>
      <color indexed="8"/>
      <name val="Arial"/>
      <family val="2"/>
    </font>
    <font>
      <b/>
      <sz val="10"/>
      <color indexed="9"/>
      <name val="Arial"/>
      <family val="2"/>
    </font>
    <font>
      <b/>
      <sz val="8"/>
      <name val="Arial"/>
      <family val="2"/>
    </font>
    <font>
      <sz val="12"/>
      <name val="Arial"/>
      <family val="2"/>
    </font>
    <font>
      <b/>
      <sz val="12"/>
      <name val="Arial"/>
      <family val="2"/>
    </font>
    <font>
      <b/>
      <sz val="9"/>
      <name val="Arial"/>
      <family val="2"/>
    </font>
    <font>
      <sz val="10"/>
      <color theme="0" tint="-0.34998626667073579"/>
      <name val="Arial"/>
      <family val="2"/>
    </font>
    <font>
      <b/>
      <sz val="13"/>
      <name val="Arial"/>
      <family val="2"/>
    </font>
    <font>
      <b/>
      <sz val="14"/>
      <name val="Arial"/>
      <family val="2"/>
    </font>
    <font>
      <b/>
      <sz val="11"/>
      <name val="Arial"/>
      <family val="2"/>
    </font>
    <font>
      <sz val="10"/>
      <color indexed="22"/>
      <name val="Arial"/>
      <family val="2"/>
    </font>
    <font>
      <b/>
      <sz val="9"/>
      <color rgb="FFFF0000"/>
      <name val="Arial"/>
      <family val="2"/>
    </font>
    <font>
      <sz val="10"/>
      <name val="Wingdings"/>
      <charset val="2"/>
    </font>
    <font>
      <b/>
      <i/>
      <sz val="10"/>
      <name val="Arial"/>
      <family val="2"/>
    </font>
    <font>
      <sz val="10"/>
      <color theme="0" tint="-0.14999847407452621"/>
      <name val="Arial"/>
      <family val="2"/>
    </font>
    <font>
      <b/>
      <sz val="11"/>
      <name val="Calibri"/>
      <family val="2"/>
    </font>
    <font>
      <sz val="1"/>
      <name val="Arial"/>
      <family val="2"/>
    </font>
    <font>
      <sz val="14"/>
      <name val="Wingdings"/>
      <charset val="2"/>
    </font>
    <font>
      <sz val="8"/>
      <name val="Arial"/>
      <family val="2"/>
    </font>
    <font>
      <i/>
      <sz val="9"/>
      <name val="Arial"/>
      <family val="2"/>
    </font>
    <font>
      <sz val="6"/>
      <name val="Arial"/>
      <family val="2"/>
    </font>
    <font>
      <sz val="7"/>
      <name val="Arial"/>
      <family val="2"/>
    </font>
    <font>
      <b/>
      <i/>
      <sz val="10"/>
      <color indexed="10"/>
      <name val="Arial"/>
      <family val="2"/>
    </font>
    <font>
      <b/>
      <i/>
      <sz val="12.5"/>
      <color indexed="9"/>
      <name val="Arial"/>
      <family val="2"/>
    </font>
    <font>
      <b/>
      <sz val="1"/>
      <color indexed="10"/>
      <name val="Arial"/>
      <family val="2"/>
    </font>
    <font>
      <sz val="2"/>
      <name val="Arial"/>
      <family val="2"/>
    </font>
    <font>
      <b/>
      <sz val="20"/>
      <color indexed="9"/>
      <name val="Arial"/>
      <family val="2"/>
    </font>
    <font>
      <b/>
      <sz val="16"/>
      <color indexed="9"/>
      <name val="Arial"/>
      <family val="2"/>
    </font>
    <font>
      <b/>
      <sz val="18"/>
      <color indexed="9"/>
      <name val="Arial"/>
      <family val="2"/>
    </font>
    <font>
      <b/>
      <sz val="12"/>
      <color indexed="9"/>
      <name val="Arial"/>
      <family val="2"/>
    </font>
    <font>
      <b/>
      <sz val="2"/>
      <name val="Arial"/>
      <family val="2"/>
    </font>
    <font>
      <b/>
      <sz val="11"/>
      <color indexed="9"/>
      <name val="Arial"/>
      <family val="2"/>
    </font>
    <font>
      <i/>
      <sz val="2"/>
      <name val="Arial"/>
      <family val="2"/>
    </font>
    <font>
      <sz val="10"/>
      <name val="Times New Roman"/>
      <family val="1"/>
    </font>
    <font>
      <i/>
      <sz val="10"/>
      <name val="Arial"/>
      <family val="2"/>
    </font>
    <font>
      <i/>
      <sz val="7"/>
      <name val="Arial"/>
      <family val="2"/>
    </font>
    <font>
      <b/>
      <i/>
      <u/>
      <sz val="10"/>
      <name val="Arial"/>
      <family val="2"/>
    </font>
    <font>
      <b/>
      <sz val="10"/>
      <color rgb="FFFF000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rgb="FF0070C0"/>
        <bgColor indexed="64"/>
      </patternFill>
    </fill>
    <fill>
      <patternFill patternType="solid">
        <fgColor indexed="10"/>
        <bgColor indexed="64"/>
      </patternFill>
    </fill>
    <fill>
      <patternFill patternType="solid">
        <fgColor indexed="62"/>
        <bgColor indexed="64"/>
      </patternFill>
    </fill>
  </fills>
  <borders count="2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thin">
        <color theme="0"/>
      </left>
      <right style="thin">
        <color theme="0"/>
      </right>
      <top/>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s>
  <cellStyleXfs count="4">
    <xf numFmtId="0" fontId="0" fillId="0" borderId="0"/>
    <xf numFmtId="9" fontId="5" fillId="0" borderId="0" applyFont="0" applyFill="0" applyBorder="0" applyAlignment="0" applyProtection="0"/>
    <xf numFmtId="0" fontId="12" fillId="0" borderId="0" applyNumberFormat="0" applyFill="0" applyBorder="0" applyAlignment="0" applyProtection="0">
      <alignment vertical="top"/>
      <protection locked="0"/>
    </xf>
    <xf numFmtId="44" fontId="1" fillId="0" borderId="0" applyFont="0" applyFill="0" applyBorder="0" applyAlignment="0" applyProtection="0"/>
  </cellStyleXfs>
  <cellXfs count="234">
    <xf numFmtId="0" fontId="0" fillId="0" borderId="0" xfId="0"/>
    <xf numFmtId="0" fontId="1" fillId="0" borderId="0" xfId="0" applyFont="1" applyAlignment="1">
      <alignment vertical="top"/>
    </xf>
    <xf numFmtId="0" fontId="1" fillId="2" borderId="0" xfId="0" applyFont="1" applyFill="1" applyAlignment="1">
      <alignment vertical="top"/>
    </xf>
    <xf numFmtId="0" fontId="1" fillId="2" borderId="0" xfId="0" applyFont="1" applyFill="1" applyAlignment="1">
      <alignment horizontal="justify" vertical="top" wrapText="1"/>
    </xf>
    <xf numFmtId="4" fontId="1" fillId="2" borderId="0" xfId="0" applyNumberFormat="1" applyFont="1" applyFill="1" applyAlignment="1">
      <alignment vertical="top"/>
    </xf>
    <xf numFmtId="0" fontId="1" fillId="2" borderId="0" xfId="0" applyFont="1" applyFill="1" applyAlignment="1" applyProtection="1">
      <alignment vertical="top"/>
      <protection locked="0"/>
    </xf>
    <xf numFmtId="0" fontId="2" fillId="2" borderId="0" xfId="0" applyFont="1" applyFill="1" applyAlignment="1">
      <alignment vertical="center"/>
    </xf>
    <xf numFmtId="0" fontId="1" fillId="2" borderId="1" xfId="0" applyFont="1" applyFill="1" applyBorder="1" applyAlignment="1">
      <alignment vertical="top"/>
    </xf>
    <xf numFmtId="49" fontId="3" fillId="2" borderId="2" xfId="0" applyNumberFormat="1" applyFont="1" applyFill="1" applyBorder="1" applyAlignment="1">
      <alignment vertical="top"/>
    </xf>
    <xf numFmtId="4" fontId="3" fillId="2" borderId="2" xfId="0" applyNumberFormat="1" applyFont="1" applyFill="1" applyBorder="1" applyAlignment="1">
      <alignment vertical="top"/>
    </xf>
    <xf numFmtId="4" fontId="3" fillId="2" borderId="3" xfId="0" applyNumberFormat="1" applyFont="1" applyFill="1" applyBorder="1" applyAlignment="1">
      <alignment vertical="top"/>
    </xf>
    <xf numFmtId="0" fontId="1" fillId="2" borderId="4" xfId="0" applyFont="1" applyFill="1" applyBorder="1" applyAlignment="1">
      <alignment vertical="top"/>
    </xf>
    <xf numFmtId="49" fontId="3" fillId="2" borderId="0" xfId="0" applyNumberFormat="1" applyFont="1" applyFill="1" applyAlignment="1">
      <alignment vertical="top"/>
    </xf>
    <xf numFmtId="4" fontId="4" fillId="2" borderId="1" xfId="0" applyNumberFormat="1" applyFont="1" applyFill="1" applyBorder="1" applyAlignment="1">
      <alignment horizontal="left" vertical="center"/>
    </xf>
    <xf numFmtId="0" fontId="6" fillId="2" borderId="0" xfId="0" applyFont="1" applyFill="1" applyAlignment="1">
      <alignment horizontal="center" vertical="center"/>
    </xf>
    <xf numFmtId="4" fontId="4" fillId="2" borderId="4" xfId="0" applyNumberFormat="1" applyFont="1" applyFill="1" applyBorder="1" applyAlignment="1">
      <alignment horizontal="left" vertical="center"/>
    </xf>
    <xf numFmtId="0" fontId="1" fillId="2" borderId="0" xfId="0" applyFont="1" applyFill="1" applyAlignment="1">
      <alignment vertical="center" wrapText="1"/>
    </xf>
    <xf numFmtId="49" fontId="8" fillId="2" borderId="0" xfId="0" applyNumberFormat="1" applyFont="1" applyFill="1" applyAlignment="1">
      <alignment horizontal="left" vertical="top"/>
    </xf>
    <xf numFmtId="49" fontId="10" fillId="2" borderId="0" xfId="0" applyNumberFormat="1" applyFont="1" applyFill="1" applyAlignment="1">
      <alignment vertical="top"/>
    </xf>
    <xf numFmtId="4" fontId="4" fillId="2" borderId="6" xfId="0" applyNumberFormat="1" applyFont="1" applyFill="1" applyBorder="1" applyAlignment="1">
      <alignment horizontal="left" vertical="center"/>
    </xf>
    <xf numFmtId="0" fontId="1" fillId="2" borderId="6" xfId="0" applyFont="1" applyFill="1" applyBorder="1" applyAlignment="1">
      <alignment vertical="top"/>
    </xf>
    <xf numFmtId="49" fontId="11" fillId="2" borderId="7" xfId="0" applyNumberFormat="1" applyFont="1" applyFill="1" applyBorder="1" applyAlignment="1">
      <alignment vertical="top"/>
    </xf>
    <xf numFmtId="4" fontId="4" fillId="2" borderId="7" xfId="0" applyNumberFormat="1" applyFont="1" applyFill="1" applyBorder="1" applyAlignment="1">
      <alignment horizontal="left" vertical="center"/>
    </xf>
    <xf numFmtId="4" fontId="13" fillId="2" borderId="7" xfId="2" applyNumberFormat="1" applyFont="1" applyFill="1" applyBorder="1" applyAlignment="1" applyProtection="1">
      <alignment vertical="center"/>
    </xf>
    <xf numFmtId="4" fontId="5" fillId="2" borderId="8" xfId="0" applyNumberFormat="1" applyFont="1" applyFill="1" applyBorder="1" applyAlignment="1">
      <alignment vertical="center"/>
    </xf>
    <xf numFmtId="49" fontId="11" fillId="2" borderId="0" xfId="0" applyNumberFormat="1" applyFont="1" applyFill="1" applyAlignment="1">
      <alignment vertical="top"/>
    </xf>
    <xf numFmtId="4" fontId="4" fillId="2" borderId="0" xfId="0" applyNumberFormat="1" applyFont="1" applyFill="1" applyAlignment="1">
      <alignment horizontal="left" vertical="center"/>
    </xf>
    <xf numFmtId="4" fontId="13" fillId="2" borderId="0" xfId="2" applyNumberFormat="1" applyFont="1" applyFill="1" applyBorder="1" applyAlignment="1" applyProtection="1">
      <alignment vertical="center"/>
    </xf>
    <xf numFmtId="4" fontId="5" fillId="2" borderId="0" xfId="0" applyNumberFormat="1" applyFont="1" applyFill="1" applyAlignment="1">
      <alignment vertical="center"/>
    </xf>
    <xf numFmtId="0" fontId="0" fillId="2" borderId="0" xfId="0" applyFill="1" applyAlignment="1">
      <alignment vertical="top"/>
    </xf>
    <xf numFmtId="49" fontId="11" fillId="2" borderId="0" xfId="0" applyNumberFormat="1" applyFont="1" applyFill="1" applyAlignment="1">
      <alignment horizontal="right" vertical="center"/>
    </xf>
    <xf numFmtId="4" fontId="14" fillId="2" borderId="0" xfId="0" applyNumberFormat="1" applyFont="1" applyFill="1" applyAlignment="1">
      <alignment horizontal="left" vertical="center"/>
    </xf>
    <xf numFmtId="4" fontId="14" fillId="2" borderId="0" xfId="0" applyNumberFormat="1" applyFont="1" applyFill="1" applyAlignment="1">
      <alignment vertical="center"/>
    </xf>
    <xf numFmtId="0" fontId="7" fillId="2" borderId="9" xfId="0" applyFont="1" applyFill="1" applyBorder="1" applyAlignment="1">
      <alignment horizontal="center" vertical="center"/>
    </xf>
    <xf numFmtId="49" fontId="11" fillId="2" borderId="10" xfId="0" applyNumberFormat="1" applyFont="1" applyFill="1" applyBorder="1" applyAlignment="1">
      <alignment horizontal="center" vertical="center"/>
    </xf>
    <xf numFmtId="4" fontId="11" fillId="2" borderId="10" xfId="0" applyNumberFormat="1" applyFont="1" applyFill="1" applyBorder="1" applyAlignment="1">
      <alignment horizontal="center" vertical="center"/>
    </xf>
    <xf numFmtId="4" fontId="11" fillId="2" borderId="11" xfId="0" applyNumberFormat="1" applyFont="1" applyFill="1" applyBorder="1" applyAlignment="1">
      <alignment horizontal="center" vertical="center"/>
    </xf>
    <xf numFmtId="0" fontId="1" fillId="2" borderId="2" xfId="0" applyFont="1" applyFill="1" applyBorder="1" applyAlignment="1">
      <alignment vertical="top"/>
    </xf>
    <xf numFmtId="0" fontId="1" fillId="2" borderId="2" xfId="0" applyFont="1" applyFill="1" applyBorder="1" applyAlignment="1">
      <alignment horizontal="justify" vertical="top" wrapText="1"/>
    </xf>
    <xf numFmtId="4" fontId="1" fillId="2" borderId="2" xfId="0" applyNumberFormat="1" applyFont="1" applyFill="1" applyBorder="1" applyAlignment="1">
      <alignment vertical="top"/>
    </xf>
    <xf numFmtId="0" fontId="16" fillId="2" borderId="0" xfId="0" applyFont="1" applyFill="1" applyAlignment="1">
      <alignment wrapText="1"/>
    </xf>
    <xf numFmtId="0" fontId="1" fillId="2" borderId="0" xfId="0" applyFont="1" applyFill="1" applyAlignment="1">
      <alignment vertical="top" wrapText="1"/>
    </xf>
    <xf numFmtId="0" fontId="1" fillId="2" borderId="0" xfId="0" applyFont="1" applyFill="1" applyAlignment="1">
      <alignment horizontal="justify" vertical="center" wrapText="1"/>
    </xf>
    <xf numFmtId="0" fontId="17" fillId="2" borderId="0" xfId="0" applyFont="1" applyFill="1" applyAlignment="1">
      <alignment vertical="center"/>
    </xf>
    <xf numFmtId="0" fontId="18" fillId="2" borderId="0" xfId="0" applyFont="1" applyFill="1" applyAlignment="1">
      <alignment horizontal="right" vertical="center"/>
    </xf>
    <xf numFmtId="44" fontId="18" fillId="2" borderId="0" xfId="3" applyFont="1" applyFill="1" applyBorder="1" applyAlignment="1" applyProtection="1">
      <alignment vertical="center"/>
    </xf>
    <xf numFmtId="0" fontId="1" fillId="2" borderId="0" xfId="0" applyFont="1" applyFill="1" applyAlignment="1">
      <alignment vertical="center"/>
    </xf>
    <xf numFmtId="0" fontId="19" fillId="2" borderId="0" xfId="0" applyFont="1" applyFill="1" applyAlignment="1">
      <alignment vertical="top" wrapText="1"/>
    </xf>
    <xf numFmtId="0" fontId="20" fillId="2" borderId="0" xfId="0" applyFont="1" applyFill="1" applyAlignment="1">
      <alignment vertical="top"/>
    </xf>
    <xf numFmtId="9" fontId="1" fillId="2" borderId="0" xfId="0" applyNumberFormat="1" applyFont="1" applyFill="1" applyAlignment="1">
      <alignment vertical="top"/>
    </xf>
    <xf numFmtId="0" fontId="21" fillId="2" borderId="0" xfId="0" applyFont="1" applyFill="1" applyAlignment="1">
      <alignment vertical="center"/>
    </xf>
    <xf numFmtId="0" fontId="21" fillId="2" borderId="0" xfId="0" applyFont="1" applyFill="1" applyAlignment="1">
      <alignment horizontal="right" vertical="center"/>
    </xf>
    <xf numFmtId="44" fontId="22" fillId="2" borderId="0" xfId="3" applyFont="1" applyFill="1" applyBorder="1" applyAlignment="1" applyProtection="1">
      <alignment horizontal="right" vertical="center"/>
    </xf>
    <xf numFmtId="0" fontId="23" fillId="2" borderId="0" xfId="0" applyFont="1" applyFill="1" applyAlignment="1">
      <alignment vertical="center"/>
    </xf>
    <xf numFmtId="4" fontId="1" fillId="2" borderId="0" xfId="0" applyNumberFormat="1" applyFont="1" applyFill="1" applyAlignment="1">
      <alignment vertical="center"/>
    </xf>
    <xf numFmtId="165" fontId="1" fillId="2" borderId="0" xfId="0" applyNumberFormat="1" applyFont="1" applyFill="1" applyAlignment="1">
      <alignment vertical="top"/>
    </xf>
    <xf numFmtId="0" fontId="23" fillId="2" borderId="0" xfId="0" applyFont="1" applyFill="1" applyAlignment="1">
      <alignment horizontal="right" vertical="center"/>
    </xf>
    <xf numFmtId="9" fontId="24" fillId="2" borderId="0" xfId="1" applyFont="1" applyFill="1" applyAlignment="1" applyProtection="1">
      <alignment vertical="top"/>
    </xf>
    <xf numFmtId="0" fontId="1" fillId="2" borderId="0" xfId="0" applyFont="1" applyFill="1" applyAlignment="1" applyProtection="1">
      <alignment horizontal="justify" vertical="top" wrapText="1"/>
      <protection locked="0"/>
    </xf>
    <xf numFmtId="4" fontId="1" fillId="2" borderId="0" xfId="0" applyNumberFormat="1" applyFont="1" applyFill="1" applyAlignment="1" applyProtection="1">
      <alignment vertical="top"/>
      <protection locked="0"/>
    </xf>
    <xf numFmtId="0" fontId="21" fillId="2" borderId="0" xfId="0" applyFont="1" applyFill="1" applyAlignment="1" applyProtection="1">
      <alignment horizontal="right" vertical="center"/>
      <protection locked="0"/>
    </xf>
    <xf numFmtId="4" fontId="0" fillId="2" borderId="0" xfId="0" applyNumberFormat="1" applyFill="1" applyAlignment="1" applyProtection="1">
      <alignment vertical="top"/>
      <protection locked="0"/>
    </xf>
    <xf numFmtId="4" fontId="26" fillId="2" borderId="0" xfId="0" applyNumberFormat="1" applyFont="1" applyFill="1" applyAlignment="1" applyProtection="1">
      <alignment vertical="top"/>
      <protection locked="0"/>
    </xf>
    <xf numFmtId="9" fontId="18" fillId="3" borderId="0" xfId="0" applyNumberFormat="1" applyFont="1" applyFill="1" applyAlignment="1" applyProtection="1">
      <alignment horizontal="center" vertical="center"/>
      <protection locked="0"/>
    </xf>
    <xf numFmtId="0" fontId="1" fillId="3" borderId="0" xfId="0" applyFont="1" applyFill="1" applyAlignment="1" applyProtection="1">
      <alignment horizontal="center" vertical="top"/>
      <protection locked="0"/>
    </xf>
    <xf numFmtId="0" fontId="0" fillId="3" borderId="0" xfId="0" applyFill="1" applyAlignment="1" applyProtection="1">
      <alignment horizontal="center" vertical="top"/>
      <protection locked="0"/>
    </xf>
    <xf numFmtId="0" fontId="28" fillId="2" borderId="0" xfId="0" applyFont="1" applyFill="1" applyAlignment="1">
      <alignment vertical="top"/>
    </xf>
    <xf numFmtId="44" fontId="18" fillId="0" borderId="0" xfId="3" applyFont="1" applyBorder="1" applyAlignment="1" applyProtection="1">
      <alignment vertical="center"/>
    </xf>
    <xf numFmtId="0" fontId="0" fillId="3" borderId="0" xfId="0" applyFill="1" applyAlignment="1" applyProtection="1">
      <alignment horizontal="left" vertical="top" wrapText="1"/>
      <protection locked="0"/>
    </xf>
    <xf numFmtId="0" fontId="1" fillId="3" borderId="0" xfId="0" applyFont="1" applyFill="1" applyAlignment="1" applyProtection="1">
      <alignment horizontal="left" vertical="top" wrapText="1"/>
      <protection locked="0"/>
    </xf>
    <xf numFmtId="0" fontId="30" fillId="0" borderId="12" xfId="0" applyFont="1" applyBorder="1" applyAlignment="1">
      <alignment horizontal="left" vertical="center"/>
    </xf>
    <xf numFmtId="0" fontId="30" fillId="0" borderId="13" xfId="0" applyFont="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2" xfId="0" applyBorder="1" applyAlignment="1">
      <alignment horizontal="left" vertical="center"/>
    </xf>
    <xf numFmtId="0" fontId="0" fillId="0" borderId="18" xfId="0" applyBorder="1" applyAlignment="1">
      <alignment horizontal="left" vertical="center"/>
    </xf>
    <xf numFmtId="0" fontId="0" fillId="0" borderId="16" xfId="0" applyBorder="1" applyAlignment="1">
      <alignment horizontal="left" vertical="center"/>
    </xf>
    <xf numFmtId="0" fontId="19" fillId="0" borderId="18" xfId="0" applyFont="1" applyBorder="1" applyAlignment="1">
      <alignment vertical="center" wrapText="1"/>
    </xf>
    <xf numFmtId="0" fontId="3" fillId="0" borderId="18" xfId="0" applyFont="1" applyBorder="1" applyAlignment="1">
      <alignment vertical="top" wrapText="1"/>
    </xf>
    <xf numFmtId="0" fontId="32" fillId="0" borderId="16" xfId="0" applyFont="1" applyBorder="1" applyAlignment="1">
      <alignment vertical="center" wrapText="1"/>
    </xf>
    <xf numFmtId="0" fontId="0" fillId="0" borderId="19" xfId="0" applyBorder="1" applyAlignment="1">
      <alignment horizontal="left" vertical="center"/>
    </xf>
    <xf numFmtId="0" fontId="0" fillId="0" borderId="20" xfId="0" applyBorder="1" applyAlignment="1">
      <alignment horizontal="left" vertical="center"/>
    </xf>
    <xf numFmtId="0" fontId="0" fillId="0" borderId="21" xfId="0" applyBorder="1" applyAlignment="1">
      <alignment horizontal="left" vertical="center"/>
    </xf>
    <xf numFmtId="0" fontId="32" fillId="0" borderId="17" xfId="0" applyFont="1" applyBorder="1" applyAlignment="1">
      <alignment vertical="top" wrapText="1"/>
    </xf>
    <xf numFmtId="0" fontId="32" fillId="0" borderId="18" xfId="0" applyFont="1" applyBorder="1" applyAlignment="1">
      <alignment vertical="top" wrapText="1"/>
    </xf>
    <xf numFmtId="0" fontId="0" fillId="0" borderId="22"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31" fillId="0" borderId="16" xfId="0" applyFont="1" applyBorder="1" applyAlignment="1">
      <alignment vertical="top" wrapText="1"/>
    </xf>
    <xf numFmtId="0" fontId="0" fillId="0" borderId="17" xfId="0" applyBorder="1" applyAlignment="1">
      <alignment horizontal="left" vertical="center"/>
    </xf>
    <xf numFmtId="0" fontId="34" fillId="0" borderId="16" xfId="0" applyFont="1" applyBorder="1" applyAlignment="1">
      <alignment vertical="center" wrapText="1"/>
    </xf>
    <xf numFmtId="0" fontId="30" fillId="0" borderId="22" xfId="0" applyFont="1" applyBorder="1" applyAlignment="1">
      <alignment vertical="center" wrapText="1"/>
    </xf>
    <xf numFmtId="0" fontId="30" fillId="0" borderId="23" xfId="0" applyFont="1" applyBorder="1" applyAlignment="1">
      <alignment vertical="center" wrapText="1"/>
    </xf>
    <xf numFmtId="0" fontId="30" fillId="0" borderId="16" xfId="0" applyFont="1" applyBorder="1" applyAlignment="1">
      <alignment vertical="center" wrapText="1"/>
    </xf>
    <xf numFmtId="0" fontId="30" fillId="0" borderId="17" xfId="0" applyFont="1" applyBorder="1" applyAlignment="1">
      <alignment vertical="center" wrapText="1"/>
    </xf>
    <xf numFmtId="0" fontId="30" fillId="0" borderId="18" xfId="0" applyFont="1" applyBorder="1" applyAlignment="1">
      <alignment vertical="center" wrapText="1"/>
    </xf>
    <xf numFmtId="0" fontId="30" fillId="0" borderId="12" xfId="0" applyFont="1" applyBorder="1" applyAlignment="1">
      <alignment vertical="center" wrapText="1"/>
    </xf>
    <xf numFmtId="0" fontId="30" fillId="0" borderId="13" xfId="0" applyFont="1" applyBorder="1" applyAlignment="1">
      <alignment vertical="center" wrapText="1"/>
    </xf>
    <xf numFmtId="0" fontId="30" fillId="0" borderId="14" xfId="0" applyFont="1" applyBorder="1" applyAlignment="1">
      <alignment vertical="center" wrapText="1"/>
    </xf>
    <xf numFmtId="0" fontId="30" fillId="0" borderId="15" xfId="0" applyFont="1" applyBorder="1" applyAlignment="1">
      <alignment vertical="center" wrapText="1"/>
    </xf>
    <xf numFmtId="0" fontId="35" fillId="0" borderId="16" xfId="0" applyFont="1" applyBorder="1" applyAlignment="1">
      <alignment vertical="center" wrapText="1"/>
    </xf>
    <xf numFmtId="0" fontId="32" fillId="0" borderId="18" xfId="0" applyFont="1" applyBorder="1" applyAlignment="1">
      <alignment vertical="center" wrapText="1"/>
    </xf>
    <xf numFmtId="0" fontId="30" fillId="0" borderId="24" xfId="0" applyFont="1" applyBorder="1" applyAlignment="1">
      <alignment horizontal="left" vertical="center"/>
    </xf>
    <xf numFmtId="0" fontId="0" fillId="0" borderId="24" xfId="0" applyBorder="1" applyAlignment="1">
      <alignment horizontal="left" vertical="center"/>
    </xf>
    <xf numFmtId="0" fontId="0" fillId="0" borderId="25" xfId="0" applyBorder="1" applyAlignment="1">
      <alignment horizontal="left" vertical="center"/>
    </xf>
    <xf numFmtId="0" fontId="37" fillId="0" borderId="25" xfId="0" applyFont="1" applyBorder="1" applyAlignment="1">
      <alignment vertical="center" wrapText="1"/>
    </xf>
    <xf numFmtId="0" fontId="38" fillId="0" borderId="12" xfId="0" applyFont="1" applyBorder="1" applyAlignment="1">
      <alignment horizontal="left" vertical="center"/>
    </xf>
    <xf numFmtId="0" fontId="38" fillId="0" borderId="13" xfId="0" applyFont="1" applyBorder="1" applyAlignment="1">
      <alignment horizontal="left" vertical="center"/>
    </xf>
    <xf numFmtId="0" fontId="31" fillId="0" borderId="19" xfId="0" applyFont="1" applyBorder="1" applyAlignment="1">
      <alignment vertical="top" wrapText="1"/>
    </xf>
    <xf numFmtId="0" fontId="31" fillId="0" borderId="21" xfId="0" applyFont="1" applyBorder="1" applyAlignment="1">
      <alignment vertical="top" wrapText="1"/>
    </xf>
    <xf numFmtId="0" fontId="0" fillId="0" borderId="23" xfId="0" applyBorder="1" applyAlignment="1">
      <alignment horizontal="left" vertical="center"/>
    </xf>
    <xf numFmtId="0" fontId="0" fillId="0" borderId="26" xfId="0" applyBorder="1" applyAlignment="1">
      <alignment horizontal="left" vertical="center"/>
    </xf>
    <xf numFmtId="0" fontId="38" fillId="0" borderId="24" xfId="0" applyFont="1" applyBorder="1" applyAlignment="1">
      <alignment horizontal="left" vertical="center"/>
    </xf>
    <xf numFmtId="0" fontId="44" fillId="0" borderId="25" xfId="0" applyFont="1" applyBorder="1" applyAlignment="1">
      <alignment vertical="top" wrapText="1"/>
    </xf>
    <xf numFmtId="0" fontId="44" fillId="0" borderId="17" xfId="0" applyFont="1" applyBorder="1" applyAlignment="1">
      <alignment vertical="top" wrapText="1"/>
    </xf>
    <xf numFmtId="166" fontId="39" fillId="0" borderId="25" xfId="0" applyNumberFormat="1" applyFont="1" applyBorder="1" applyAlignment="1">
      <alignment horizontal="left" vertical="top" wrapText="1"/>
    </xf>
    <xf numFmtId="0" fontId="3" fillId="0" borderId="12" xfId="0" applyFont="1" applyBorder="1" applyAlignment="1">
      <alignment wrapText="1"/>
    </xf>
    <xf numFmtId="0" fontId="3" fillId="0" borderId="14" xfId="0" applyFont="1" applyBorder="1" applyAlignment="1">
      <alignment wrapText="1"/>
    </xf>
    <xf numFmtId="0" fontId="32" fillId="0" borderId="15" xfId="0" applyFont="1" applyBorder="1" applyAlignment="1">
      <alignment wrapText="1"/>
    </xf>
    <xf numFmtId="0" fontId="19" fillId="0" borderId="12" xfId="0" applyFont="1" applyBorder="1" applyAlignment="1">
      <alignment wrapText="1"/>
    </xf>
    <xf numFmtId="166" fontId="32" fillId="0" borderId="15" xfId="0" applyNumberFormat="1" applyFont="1" applyBorder="1" applyAlignment="1">
      <alignment vertical="center" wrapText="1"/>
    </xf>
    <xf numFmtId="166" fontId="16" fillId="0" borderId="12" xfId="0" applyNumberFormat="1" applyFont="1" applyBorder="1" applyAlignment="1">
      <alignment vertical="center" wrapText="1"/>
    </xf>
    <xf numFmtId="166" fontId="16" fillId="0" borderId="14" xfId="0" applyNumberFormat="1" applyFont="1" applyBorder="1" applyAlignment="1">
      <alignment vertical="center" wrapText="1"/>
    </xf>
    <xf numFmtId="0" fontId="34" fillId="0" borderId="18" xfId="0" applyFont="1" applyBorder="1" applyAlignment="1">
      <alignment vertical="center" wrapText="1"/>
    </xf>
    <xf numFmtId="166" fontId="16" fillId="0" borderId="16" xfId="0" applyNumberFormat="1" applyFont="1" applyBorder="1" applyAlignment="1">
      <alignment vertical="center" wrapText="1"/>
    </xf>
    <xf numFmtId="166" fontId="16" fillId="0" borderId="18" xfId="0" applyNumberFormat="1" applyFont="1" applyBorder="1" applyAlignment="1">
      <alignment vertical="center" wrapText="1"/>
    </xf>
    <xf numFmtId="0" fontId="34" fillId="0" borderId="16" xfId="0" applyFont="1" applyBorder="1" applyAlignment="1">
      <alignment vertical="center"/>
    </xf>
    <xf numFmtId="0" fontId="34" fillId="0" borderId="18" xfId="0" applyFont="1" applyBorder="1" applyAlignment="1">
      <alignment vertical="center"/>
    </xf>
    <xf numFmtId="166" fontId="0" fillId="0" borderId="18" xfId="0" applyNumberFormat="1" applyBorder="1" applyAlignment="1">
      <alignment horizontal="left" vertical="top" wrapText="1"/>
    </xf>
    <xf numFmtId="0" fontId="34" fillId="0" borderId="16" xfId="0" applyFont="1" applyBorder="1" applyAlignment="1">
      <alignment horizontal="left" vertical="center"/>
    </xf>
    <xf numFmtId="0" fontId="34" fillId="0" borderId="17" xfId="0" applyFont="1" applyBorder="1" applyAlignment="1">
      <alignment horizontal="left" vertical="center"/>
    </xf>
    <xf numFmtId="0" fontId="34" fillId="0" borderId="18" xfId="0" applyFont="1" applyBorder="1" applyAlignment="1">
      <alignment horizontal="left" vertical="center"/>
    </xf>
    <xf numFmtId="0" fontId="32" fillId="0" borderId="17" xfId="0" applyFont="1" applyBorder="1" applyAlignment="1">
      <alignment horizontal="justify" vertical="top" wrapText="1"/>
    </xf>
    <xf numFmtId="0" fontId="35" fillId="0" borderId="19" xfId="0" applyFont="1" applyBorder="1" applyAlignment="1">
      <alignment vertical="top" wrapText="1"/>
    </xf>
    <xf numFmtId="0" fontId="35" fillId="0" borderId="21" xfId="0" applyFont="1" applyBorder="1" applyAlignment="1">
      <alignment vertical="top" wrapText="1"/>
    </xf>
    <xf numFmtId="0" fontId="32" fillId="0" borderId="15" xfId="0" applyFont="1" applyBorder="1" applyAlignment="1">
      <alignment vertical="center" wrapText="1"/>
    </xf>
    <xf numFmtId="0" fontId="32" fillId="0" borderId="19" xfId="0" applyFont="1" applyBorder="1" applyAlignment="1">
      <alignment vertical="center" wrapText="1"/>
    </xf>
    <xf numFmtId="0" fontId="32" fillId="0" borderId="20" xfId="0" applyFont="1" applyBorder="1" applyAlignment="1">
      <alignment vertical="top" wrapText="1"/>
    </xf>
    <xf numFmtId="0" fontId="32" fillId="0" borderId="20" xfId="0" applyFont="1" applyBorder="1" applyAlignment="1">
      <alignment vertical="center" wrapText="1"/>
    </xf>
    <xf numFmtId="166" fontId="45" fillId="0" borderId="20" xfId="0" applyNumberFormat="1" applyFont="1" applyBorder="1" applyAlignment="1">
      <alignment vertical="center" wrapText="1"/>
    </xf>
    <xf numFmtId="0" fontId="34" fillId="0" borderId="21" xfId="0" applyFont="1" applyBorder="1" applyAlignment="1">
      <alignment vertical="top" wrapText="1"/>
    </xf>
    <xf numFmtId="0" fontId="34" fillId="0" borderId="15" xfId="0" applyFont="1" applyBorder="1" applyAlignment="1">
      <alignment vertical="top" wrapText="1"/>
    </xf>
    <xf numFmtId="0" fontId="34" fillId="0" borderId="19" xfId="0" applyFont="1" applyBorder="1" applyAlignment="1">
      <alignment vertical="top" wrapText="1"/>
    </xf>
    <xf numFmtId="0" fontId="34" fillId="0" borderId="20" xfId="0" applyFont="1" applyBorder="1" applyAlignment="1">
      <alignment vertical="top" wrapText="1"/>
    </xf>
    <xf numFmtId="166" fontId="0" fillId="0" borderId="21" xfId="0" applyNumberFormat="1" applyBorder="1" applyAlignment="1">
      <alignment horizontal="left" vertical="top" wrapText="1"/>
    </xf>
    <xf numFmtId="0" fontId="34" fillId="0" borderId="24" xfId="0" applyFont="1" applyBorder="1" applyAlignment="1">
      <alignment horizontal="left" wrapText="1"/>
    </xf>
    <xf numFmtId="0" fontId="34" fillId="0" borderId="17" xfId="0" applyFont="1" applyBorder="1" applyAlignment="1">
      <alignment vertical="top" wrapText="1"/>
    </xf>
    <xf numFmtId="166" fontId="0" fillId="0" borderId="24" xfId="0" applyNumberFormat="1" applyBorder="1" applyAlignment="1">
      <alignment horizontal="left" vertical="top" wrapText="1"/>
    </xf>
    <xf numFmtId="44" fontId="18" fillId="0" borderId="24" xfId="3" applyFont="1" applyFill="1" applyBorder="1" applyAlignment="1" applyProtection="1">
      <alignment horizontal="right" vertical="center" wrapText="1"/>
    </xf>
    <xf numFmtId="44" fontId="18" fillId="0" borderId="17" xfId="3" applyFont="1" applyFill="1" applyBorder="1" applyAlignment="1" applyProtection="1">
      <alignment horizontal="right" vertical="center" wrapText="1"/>
    </xf>
    <xf numFmtId="0" fontId="0" fillId="0" borderId="17" xfId="0" applyBorder="1" applyAlignment="1">
      <alignment horizontal="justify" vertical="center" wrapText="1"/>
    </xf>
    <xf numFmtId="0" fontId="36" fillId="0" borderId="17" xfId="0" applyFont="1" applyBorder="1" applyAlignment="1">
      <alignment vertical="center" wrapText="1"/>
    </xf>
    <xf numFmtId="0" fontId="0" fillId="0" borderId="17" xfId="0" applyBorder="1" applyAlignment="1">
      <alignment horizontal="left" vertical="top"/>
    </xf>
    <xf numFmtId="0" fontId="46" fillId="0" borderId="12" xfId="0" applyFont="1" applyBorder="1" applyAlignment="1">
      <alignment horizontal="center" vertical="center" wrapText="1"/>
    </xf>
    <xf numFmtId="0" fontId="46" fillId="0" borderId="13" xfId="0" applyFont="1" applyBorder="1" applyAlignment="1">
      <alignment horizontal="center" vertical="center" wrapText="1"/>
    </xf>
    <xf numFmtId="0" fontId="46" fillId="0" borderId="14" xfId="0" applyFont="1" applyBorder="1" applyAlignment="1">
      <alignment horizontal="center" vertical="center" wrapText="1"/>
    </xf>
    <xf numFmtId="0" fontId="1" fillId="0" borderId="16" xfId="0" applyFont="1" applyBorder="1" applyAlignment="1">
      <alignment vertical="top" wrapText="1"/>
    </xf>
    <xf numFmtId="0" fontId="1" fillId="0" borderId="18" xfId="0" applyFont="1" applyBorder="1" applyAlignment="1">
      <alignment vertical="top" wrapText="1"/>
    </xf>
    <xf numFmtId="0" fontId="49" fillId="0" borderId="16" xfId="0" applyFont="1" applyBorder="1" applyAlignment="1">
      <alignment vertical="top"/>
    </xf>
    <xf numFmtId="0" fontId="49" fillId="0" borderId="18" xfId="0" applyFont="1" applyBorder="1" applyAlignment="1">
      <alignment vertical="top"/>
    </xf>
    <xf numFmtId="0" fontId="26" fillId="0" borderId="16" xfId="0" applyFont="1" applyBorder="1" applyAlignment="1">
      <alignment vertical="top" wrapText="1"/>
    </xf>
    <xf numFmtId="0" fontId="26" fillId="0" borderId="18" xfId="0" applyFont="1" applyBorder="1" applyAlignment="1">
      <alignment vertical="top" wrapText="1"/>
    </xf>
    <xf numFmtId="0" fontId="50" fillId="0" borderId="16" xfId="0" applyFont="1" applyBorder="1" applyAlignment="1">
      <alignment vertical="top" wrapText="1"/>
    </xf>
    <xf numFmtId="0" fontId="50" fillId="0" borderId="18" xfId="0" applyFont="1" applyBorder="1" applyAlignment="1">
      <alignment vertical="top" wrapText="1"/>
    </xf>
    <xf numFmtId="0" fontId="35" fillId="0" borderId="19" xfId="0" applyFont="1" applyBorder="1" applyAlignment="1">
      <alignment horizontal="left" vertical="center" wrapText="1"/>
    </xf>
    <xf numFmtId="0" fontId="35" fillId="0" borderId="20" xfId="0" applyFont="1" applyBorder="1" applyAlignment="1">
      <alignment horizontal="left" vertical="center" wrapText="1"/>
    </xf>
    <xf numFmtId="0" fontId="35" fillId="0" borderId="21" xfId="0" applyFont="1" applyBorder="1" applyAlignment="1">
      <alignment horizontal="left" vertical="center" wrapText="1"/>
    </xf>
    <xf numFmtId="0" fontId="30" fillId="0" borderId="22" xfId="0" applyFont="1" applyBorder="1" applyAlignment="1">
      <alignment horizontal="left" vertical="center"/>
    </xf>
    <xf numFmtId="0" fontId="0" fillId="0" borderId="22" xfId="0" applyBorder="1" applyAlignment="1">
      <alignment horizontal="left" vertical="center"/>
    </xf>
    <xf numFmtId="0" fontId="31" fillId="0" borderId="24" xfId="0" applyFont="1" applyBorder="1" applyAlignment="1">
      <alignment horizontal="center" vertical="center" wrapText="1"/>
    </xf>
    <xf numFmtId="4" fontId="1" fillId="3" borderId="0" xfId="0" applyNumberFormat="1" applyFont="1" applyFill="1" applyAlignment="1" applyProtection="1">
      <alignment horizontal="center" wrapText="1"/>
      <protection locked="0"/>
    </xf>
    <xf numFmtId="44" fontId="1" fillId="3" borderId="0" xfId="3" applyFont="1" applyFill="1" applyBorder="1" applyAlignment="1" applyProtection="1">
      <alignment wrapText="1"/>
      <protection locked="0"/>
    </xf>
    <xf numFmtId="44" fontId="1" fillId="2" borderId="0" xfId="3" applyFont="1" applyFill="1" applyBorder="1" applyAlignment="1" applyProtection="1">
      <alignment wrapText="1"/>
      <protection hidden="1"/>
    </xf>
    <xf numFmtId="0" fontId="2" fillId="2" borderId="0" xfId="0" applyFont="1" applyFill="1" applyAlignment="1">
      <alignment horizontal="center" vertical="center"/>
    </xf>
    <xf numFmtId="4" fontId="5" fillId="3" borderId="2" xfId="0" applyNumberFormat="1" applyFont="1" applyFill="1" applyBorder="1" applyAlignment="1" applyProtection="1">
      <alignment horizontal="left" vertical="center"/>
      <protection locked="0"/>
    </xf>
    <xf numFmtId="4" fontId="5" fillId="3" borderId="3" xfId="0" applyNumberFormat="1" applyFont="1" applyFill="1" applyBorder="1" applyAlignment="1" applyProtection="1">
      <alignment horizontal="left" vertical="center"/>
      <protection locked="0"/>
    </xf>
    <xf numFmtId="0" fontId="1" fillId="2" borderId="0" xfId="0" applyFont="1" applyFill="1" applyAlignment="1">
      <alignment vertical="top" wrapText="1"/>
    </xf>
    <xf numFmtId="49" fontId="5" fillId="3" borderId="0" xfId="0" applyNumberFormat="1" applyFont="1" applyFill="1" applyAlignment="1" applyProtection="1">
      <alignment vertical="center"/>
      <protection locked="0"/>
    </xf>
    <xf numFmtId="49" fontId="5" fillId="3" borderId="5" xfId="0" applyNumberFormat="1" applyFont="1" applyFill="1" applyBorder="1" applyAlignment="1" applyProtection="1">
      <alignment vertical="center"/>
      <protection locked="0"/>
    </xf>
    <xf numFmtId="0" fontId="9" fillId="2" borderId="0" xfId="0" applyFont="1" applyFill="1" applyAlignment="1">
      <alignment horizontal="center" vertical="center" wrapText="1"/>
    </xf>
    <xf numFmtId="49" fontId="5" fillId="3" borderId="7" xfId="0" applyNumberFormat="1" applyFont="1" applyFill="1" applyBorder="1" applyAlignment="1" applyProtection="1">
      <alignment vertical="center"/>
      <protection locked="0"/>
    </xf>
    <xf numFmtId="49" fontId="5" fillId="3" borderId="8" xfId="0" applyNumberFormat="1" applyFont="1" applyFill="1" applyBorder="1" applyAlignment="1" applyProtection="1">
      <alignment vertical="center"/>
      <protection locked="0"/>
    </xf>
    <xf numFmtId="0" fontId="27" fillId="2" borderId="0" xfId="0" applyFont="1" applyFill="1" applyAlignment="1">
      <alignment horizontal="left" vertical="center" wrapText="1"/>
    </xf>
    <xf numFmtId="164" fontId="23" fillId="2" borderId="0" xfId="0" applyNumberFormat="1" applyFont="1" applyFill="1" applyAlignment="1">
      <alignment horizontal="left" vertical="center"/>
    </xf>
    <xf numFmtId="0" fontId="7" fillId="2" borderId="0" xfId="0" applyFont="1" applyFill="1" applyAlignment="1">
      <alignment vertical="top" wrapText="1"/>
    </xf>
    <xf numFmtId="0" fontId="0" fillId="2" borderId="0" xfId="0" applyFill="1" applyAlignment="1">
      <alignment horizontal="justify" vertical="top"/>
    </xf>
    <xf numFmtId="0" fontId="1" fillId="2" borderId="0" xfId="0" applyFont="1" applyFill="1" applyAlignment="1">
      <alignment horizontal="justify" vertical="top"/>
    </xf>
    <xf numFmtId="0" fontId="0" fillId="2" borderId="0" xfId="0" applyFill="1" applyAlignment="1">
      <alignment horizontal="left" vertical="top"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15" fillId="4" borderId="11" xfId="0" applyFont="1" applyFill="1" applyBorder="1" applyAlignment="1">
      <alignment horizontal="center" vertical="center" wrapText="1"/>
    </xf>
    <xf numFmtId="0" fontId="1" fillId="2" borderId="0" xfId="0" applyFont="1" applyFill="1" applyAlignment="1">
      <alignment horizontal="left" vertical="top" wrapText="1"/>
    </xf>
    <xf numFmtId="0" fontId="29" fillId="0" borderId="0" xfId="0" applyFont="1" applyAlignment="1">
      <alignment horizontal="left" vertical="justify" wrapText="1"/>
    </xf>
    <xf numFmtId="0" fontId="39" fillId="5" borderId="1" xfId="0" applyFont="1" applyFill="1" applyBorder="1" applyAlignment="1">
      <alignment vertical="center" wrapText="1"/>
    </xf>
    <xf numFmtId="0" fontId="39" fillId="5" borderId="2" xfId="0" applyFont="1" applyFill="1" applyBorder="1" applyAlignment="1">
      <alignment vertical="center" wrapText="1"/>
    </xf>
    <xf numFmtId="0" fontId="39" fillId="5" borderId="3" xfId="0" applyFont="1" applyFill="1" applyBorder="1" applyAlignment="1">
      <alignment vertical="center" wrapText="1"/>
    </xf>
    <xf numFmtId="0" fontId="40" fillId="5" borderId="4" xfId="0" applyFont="1" applyFill="1" applyBorder="1" applyAlignment="1">
      <alignment horizontal="center" vertical="center" wrapText="1"/>
    </xf>
    <xf numFmtId="0" fontId="40" fillId="5" borderId="0" xfId="0" applyFont="1" applyFill="1" applyAlignment="1">
      <alignment horizontal="center" vertical="center" wrapText="1"/>
    </xf>
    <xf numFmtId="0" fontId="40" fillId="5" borderId="5" xfId="0" applyFont="1" applyFill="1" applyBorder="1" applyAlignment="1">
      <alignment horizontal="center" vertical="center" wrapText="1"/>
    </xf>
    <xf numFmtId="0" fontId="42" fillId="5" borderId="6" xfId="0" applyFont="1" applyFill="1" applyBorder="1" applyAlignment="1">
      <alignment vertical="center" wrapText="1"/>
    </xf>
    <xf numFmtId="0" fontId="42" fillId="5" borderId="7" xfId="0" applyFont="1" applyFill="1" applyBorder="1" applyAlignment="1">
      <alignment vertical="center" wrapText="1"/>
    </xf>
    <xf numFmtId="0" fontId="42" fillId="5" borderId="8" xfId="0" applyFont="1" applyFill="1" applyBorder="1" applyAlignment="1">
      <alignment vertical="center" wrapText="1"/>
    </xf>
    <xf numFmtId="0" fontId="43" fillId="6" borderId="17" xfId="0" applyFont="1" applyFill="1" applyBorder="1" applyAlignment="1">
      <alignment horizontal="center" vertical="center" wrapText="1"/>
    </xf>
    <xf numFmtId="0" fontId="19" fillId="0" borderId="13" xfId="0" applyFont="1" applyBorder="1" applyAlignment="1">
      <alignment wrapText="1"/>
    </xf>
    <xf numFmtId="166" fontId="16" fillId="0" borderId="13" xfId="0" applyNumberFormat="1" applyFont="1" applyBorder="1" applyAlignment="1">
      <alignment horizontal="center" vertical="center" wrapText="1"/>
    </xf>
    <xf numFmtId="166" fontId="16" fillId="0" borderId="17" xfId="0" applyNumberFormat="1" applyFont="1" applyBorder="1" applyAlignment="1">
      <alignment horizontal="center" vertical="center" wrapText="1"/>
    </xf>
    <xf numFmtId="0" fontId="32" fillId="0" borderId="17" xfId="0" applyFont="1" applyBorder="1" applyAlignment="1">
      <alignment horizontal="justify" vertical="center" wrapText="1"/>
    </xf>
    <xf numFmtId="0" fontId="32" fillId="0" borderId="17" xfId="0" applyFont="1" applyBorder="1" applyAlignment="1">
      <alignment horizontal="justify" vertical="top" wrapText="1"/>
    </xf>
    <xf numFmtId="0" fontId="26" fillId="0" borderId="17" xfId="0" applyFont="1" applyBorder="1" applyAlignment="1">
      <alignment horizontal="justify" vertical="top" wrapText="1"/>
    </xf>
    <xf numFmtId="0" fontId="16" fillId="0" borderId="17" xfId="0" applyFont="1" applyBorder="1" applyAlignment="1">
      <alignment horizontal="center" vertical="center"/>
    </xf>
    <xf numFmtId="0" fontId="35" fillId="0" borderId="20" xfId="0" applyFont="1" applyBorder="1" applyAlignment="1">
      <alignment vertical="top" wrapText="1"/>
    </xf>
    <xf numFmtId="0" fontId="36" fillId="0" borderId="17" xfId="0" applyFont="1" applyBorder="1" applyAlignment="1">
      <alignment vertical="center" wrapText="1"/>
    </xf>
    <xf numFmtId="0" fontId="46" fillId="0" borderId="25" xfId="0" applyFont="1" applyBorder="1" applyAlignment="1">
      <alignment horizontal="center" vertical="center" wrapText="1"/>
    </xf>
    <xf numFmtId="0" fontId="1" fillId="0" borderId="17" xfId="0" applyFont="1" applyBorder="1" applyAlignment="1">
      <alignment horizontal="justify" vertical="top" wrapText="1"/>
    </xf>
    <xf numFmtId="0" fontId="35" fillId="0" borderId="17" xfId="0" applyFont="1" applyBorder="1" applyAlignment="1">
      <alignment horizontal="center" vertical="top"/>
    </xf>
    <xf numFmtId="0" fontId="49" fillId="0" borderId="17" xfId="0" applyFont="1" applyBorder="1" applyAlignment="1">
      <alignment horizontal="center" vertical="top"/>
    </xf>
    <xf numFmtId="0" fontId="50" fillId="0" borderId="17" xfId="0" applyFont="1" applyBorder="1" applyAlignment="1">
      <alignment horizontal="justify" vertical="top" wrapText="1"/>
    </xf>
    <xf numFmtId="0" fontId="31" fillId="0" borderId="16" xfId="0" applyFont="1" applyBorder="1" applyAlignment="1">
      <alignment horizontal="justify" vertical="top" wrapText="1"/>
    </xf>
    <xf numFmtId="0" fontId="31" fillId="0" borderId="17" xfId="0" applyFont="1" applyBorder="1" applyAlignment="1">
      <alignment horizontal="justify" vertical="top" wrapText="1"/>
    </xf>
    <xf numFmtId="0" fontId="19" fillId="0" borderId="17" xfId="0" applyFont="1" applyBorder="1" applyAlignment="1">
      <alignment horizontal="justify" vertical="top" wrapText="1"/>
    </xf>
    <xf numFmtId="0" fontId="3" fillId="0" borderId="17" xfId="0" applyFont="1" applyBorder="1" applyAlignment="1">
      <alignment horizontal="justify" vertical="top" wrapText="1"/>
    </xf>
    <xf numFmtId="0" fontId="32" fillId="0" borderId="17" xfId="0" applyFont="1" applyBorder="1" applyAlignment="1">
      <alignment horizontal="right" vertical="center" wrapText="1"/>
    </xf>
    <xf numFmtId="0" fontId="31" fillId="0" borderId="20" xfId="0" applyFont="1" applyBorder="1" applyAlignment="1">
      <alignment horizontal="justify" vertical="top" wrapText="1"/>
    </xf>
    <xf numFmtId="0" fontId="32" fillId="0" borderId="17" xfId="0" applyFont="1" applyBorder="1" applyAlignment="1">
      <alignment vertical="center" wrapText="1"/>
    </xf>
    <xf numFmtId="0" fontId="35" fillId="0" borderId="17" xfId="0" applyFont="1" applyBorder="1" applyAlignment="1">
      <alignment vertical="center" wrapText="1"/>
    </xf>
    <xf numFmtId="0" fontId="32" fillId="0" borderId="17" xfId="0" applyFont="1" applyBorder="1" applyAlignment="1">
      <alignment horizontal="center" vertical="center" wrapText="1"/>
    </xf>
    <xf numFmtId="0" fontId="36" fillId="0" borderId="25" xfId="0" applyFont="1" applyBorder="1" applyAlignment="1">
      <alignment vertical="center" wrapText="1"/>
    </xf>
  </cellXfs>
  <cellStyles count="4">
    <cellStyle name="Euro" xfId="3" xr:uid="{00000000-0005-0000-0000-000000000000}"/>
    <cellStyle name="Hipervínculo" xfId="2" builtinId="8"/>
    <cellStyle name="Normal" xfId="0" builtinId="0"/>
    <cellStyle name="Porcentaje" xfId="1" builtinId="5"/>
  </cellStyles>
  <dxfs count="21">
    <dxf>
      <fill>
        <patternFill>
          <bgColor theme="0"/>
        </patternFill>
      </fill>
    </dxf>
    <dxf>
      <fill>
        <patternFill>
          <bgColor rgb="FF92D050"/>
        </patternFill>
      </fill>
    </dxf>
    <dxf>
      <font>
        <condense val="0"/>
        <extend val="0"/>
        <color indexed="9"/>
      </font>
    </dxf>
    <dxf>
      <fill>
        <patternFill>
          <bgColor theme="0"/>
        </patternFill>
      </fill>
    </dxf>
    <dxf>
      <fill>
        <patternFill>
          <bgColor rgb="FF92D050"/>
        </patternFill>
      </fill>
    </dxf>
    <dxf>
      <font>
        <condense val="0"/>
        <extend val="0"/>
        <color indexed="9"/>
      </font>
    </dxf>
    <dxf>
      <fill>
        <patternFill>
          <bgColor theme="0"/>
        </patternFill>
      </fill>
    </dxf>
    <dxf>
      <fill>
        <patternFill>
          <bgColor rgb="FF92D050"/>
        </patternFill>
      </fill>
    </dxf>
    <dxf>
      <font>
        <condense val="0"/>
        <extend val="0"/>
        <color indexed="9"/>
      </font>
    </dxf>
    <dxf>
      <fill>
        <patternFill>
          <bgColor theme="0"/>
        </patternFill>
      </fill>
    </dxf>
    <dxf>
      <fill>
        <patternFill>
          <bgColor rgb="FF92D050"/>
        </patternFill>
      </fill>
    </dxf>
    <dxf>
      <font>
        <condense val="0"/>
        <extend val="0"/>
        <color indexed="9"/>
      </font>
    </dxf>
    <dxf>
      <fill>
        <patternFill>
          <bgColor theme="0"/>
        </patternFill>
      </fill>
    </dxf>
    <dxf>
      <fill>
        <patternFill>
          <bgColor rgb="FF92D050"/>
        </patternFill>
      </fill>
    </dxf>
    <dxf>
      <font>
        <condense val="0"/>
        <extend val="0"/>
        <color indexed="9"/>
      </font>
    </dxf>
    <dxf>
      <numFmt numFmtId="165" formatCode="0.0%"/>
    </dxf>
    <dxf>
      <fill>
        <patternFill>
          <bgColor theme="0"/>
        </patternFill>
      </fill>
    </dxf>
    <dxf>
      <fill>
        <patternFill>
          <bgColor rgb="FF92D050"/>
        </patternFill>
      </fill>
    </dxf>
    <dxf>
      <fill>
        <patternFill>
          <bgColor theme="0"/>
        </patternFill>
      </fill>
    </dxf>
    <dxf>
      <fill>
        <patternFill>
          <bgColor rgb="FF92D050"/>
        </patternFill>
      </fill>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342900</xdr:colOff>
          <xdr:row>7</xdr:row>
          <xdr:rowOff>142875</xdr:rowOff>
        </xdr:from>
        <xdr:to>
          <xdr:col>8</xdr:col>
          <xdr:colOff>2790825</xdr:colOff>
          <xdr:row>13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000" b="1" i="0" u="none" strike="noStrike" baseline="0">
                  <a:solidFill>
                    <a:srgbClr val="FF0000"/>
                  </a:solidFill>
                  <a:latin typeface="Arial"/>
                  <a:cs typeface="Arial"/>
                </a:rPr>
                <a:t>PULSAR AQUÍ PARA CONVERTIR ARCHIVO </a:t>
              </a:r>
            </a:p>
            <a:p>
              <a:pPr algn="ctr" rtl="0">
                <a:defRPr sz="1000"/>
              </a:pPr>
              <a:r>
                <a:rPr lang="es-ES" sz="1000" b="1" i="0" u="none" strike="noStrike" baseline="0">
                  <a:solidFill>
                    <a:srgbClr val="FF0000"/>
                  </a:solidFill>
                  <a:latin typeface="Arial"/>
                  <a:cs typeface="Arial"/>
                </a:rPr>
                <a:t>EXCEL A PDF </a:t>
              </a:r>
            </a:p>
            <a:p>
              <a:pPr algn="ctr" rtl="0">
                <a:defRPr sz="1000"/>
              </a:pPr>
              <a:r>
                <a:rPr lang="es-ES" sz="1000" b="1" i="0" u="none" strike="noStrike" baseline="0">
                  <a:solidFill>
                    <a:srgbClr val="FF0000"/>
                  </a:solidFill>
                  <a:latin typeface="Arial"/>
                  <a:cs typeface="Arial"/>
                </a:rPr>
                <a:t>PARA SU ENTREGA AL CLIENTE </a:t>
              </a:r>
            </a:p>
            <a:p>
              <a:pPr algn="ctr" rtl="0">
                <a:defRPr sz="1000"/>
              </a:pPr>
              <a:r>
                <a:rPr lang="es-ES" sz="1000" b="1" i="0" u="none" strike="noStrike" baseline="0">
                  <a:solidFill>
                    <a:srgbClr val="FF0000"/>
                  </a:solidFill>
                  <a:latin typeface="Arial"/>
                  <a:cs typeface="Arial"/>
                </a:rPr>
                <a:t>VÍA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133350</xdr:colOff>
          <xdr:row>175</xdr:row>
          <xdr:rowOff>123825</xdr:rowOff>
        </xdr:from>
        <xdr:to>
          <xdr:col>8</xdr:col>
          <xdr:colOff>2609850</xdr:colOff>
          <xdr:row>180</xdr:row>
          <xdr:rowOff>133350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000" b="1" i="0" u="none" strike="noStrike" baseline="0">
                  <a:solidFill>
                    <a:srgbClr val="FF0000"/>
                  </a:solidFill>
                  <a:latin typeface="Arial"/>
                  <a:cs typeface="Arial"/>
                </a:rPr>
                <a:t>PULSA AQUÍ PARA INSERTAR FILAS EN EL PRESUPUESTO</a:t>
              </a:r>
            </a:p>
          </xdr:txBody>
        </xdr:sp>
        <xdr:clientData fPrintsWithSheet="0"/>
      </xdr:twoCellAnchor>
    </mc:Choice>
    <mc:Fallback/>
  </mc:AlternateContent>
  <xdr:twoCellAnchor editAs="oneCell">
    <xdr:from>
      <xdr:col>1</xdr:col>
      <xdr:colOff>9525</xdr:colOff>
      <xdr:row>73</xdr:row>
      <xdr:rowOff>190499</xdr:rowOff>
    </xdr:from>
    <xdr:to>
      <xdr:col>6</xdr:col>
      <xdr:colOff>48506</xdr:colOff>
      <xdr:row>125</xdr:row>
      <xdr:rowOff>180974</xdr:rowOff>
    </xdr:to>
    <xdr:pic>
      <xdr:nvPicPr>
        <xdr:cNvPr id="13" name="Imagen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14163674"/>
          <a:ext cx="7916156" cy="9896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39</xdr:row>
      <xdr:rowOff>14657</xdr:rowOff>
    </xdr:from>
    <xdr:to>
      <xdr:col>6</xdr:col>
      <xdr:colOff>36231</xdr:colOff>
      <xdr:row>56</xdr:row>
      <xdr:rowOff>177935</xdr:rowOff>
    </xdr:to>
    <xdr:pic>
      <xdr:nvPicPr>
        <xdr:cNvPr id="16" name="Imagen 15">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3173" y="6938599"/>
          <a:ext cx="7920000" cy="34017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xdr:colOff>
      <xdr:row>13</xdr:row>
      <xdr:rowOff>0</xdr:rowOff>
    </xdr:from>
    <xdr:to>
      <xdr:col>6</xdr:col>
      <xdr:colOff>23103</xdr:colOff>
      <xdr:row>34</xdr:row>
      <xdr:rowOff>136072</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76894" y="1945821"/>
          <a:ext cx="7901638" cy="4136572"/>
        </a:xfrm>
        <a:prstGeom prst="rect">
          <a:avLst/>
        </a:prstGeom>
      </xdr:spPr>
    </xdr:pic>
    <xdr:clientData/>
  </xdr:twoCellAnchor>
  <xdr:twoCellAnchor editAs="oneCell">
    <xdr:from>
      <xdr:col>1</xdr:col>
      <xdr:colOff>356152</xdr:colOff>
      <xdr:row>5</xdr:row>
      <xdr:rowOff>0</xdr:rowOff>
    </xdr:from>
    <xdr:to>
      <xdr:col>2</xdr:col>
      <xdr:colOff>2927878</xdr:colOff>
      <xdr:row>8</xdr:row>
      <xdr:rowOff>16565</xdr:rowOff>
    </xdr:to>
    <xdr:pic>
      <xdr:nvPicPr>
        <xdr:cNvPr id="2" name="Imagen 1" descr="Un dibujo con letras&#10;&#10;El contenido generado por IA puede ser incorrecto.">
          <a:extLst>
            <a:ext uri="{FF2B5EF4-FFF2-40B4-BE49-F238E27FC236}">
              <a16:creationId xmlns:a16="http://schemas.microsoft.com/office/drawing/2014/main" id="{912409F1-ACBA-419A-AB81-3D5A84C2E090}"/>
            </a:ext>
          </a:extLst>
        </xdr:cNvPr>
        <xdr:cNvPicPr>
          <a:picLocks noChangeAspect="1"/>
        </xdr:cNvPicPr>
      </xdr:nvPicPr>
      <xdr:blipFill>
        <a:blip xmlns:r="http://schemas.openxmlformats.org/officeDocument/2006/relationships" r:embed="rId4"/>
        <a:stretch>
          <a:fillRect/>
        </a:stretch>
      </xdr:blipFill>
      <xdr:spPr>
        <a:xfrm>
          <a:off x="538369" y="571500"/>
          <a:ext cx="2927879" cy="588065"/>
        </a:xfrm>
        <a:prstGeom prst="rect">
          <a:avLst/>
        </a:prstGeom>
      </xdr:spPr>
    </xdr:pic>
    <xdr:clientData/>
  </xdr:twoCellAnchor>
  <xdr:twoCellAnchor editAs="oneCell">
    <xdr:from>
      <xdr:col>2</xdr:col>
      <xdr:colOff>0</xdr:colOff>
      <xdr:row>71</xdr:row>
      <xdr:rowOff>1</xdr:rowOff>
    </xdr:from>
    <xdr:to>
      <xdr:col>2</xdr:col>
      <xdr:colOff>2170043</xdr:colOff>
      <xdr:row>73</xdr:row>
      <xdr:rowOff>46572</xdr:rowOff>
    </xdr:to>
    <xdr:pic>
      <xdr:nvPicPr>
        <xdr:cNvPr id="4" name="Imagen 3" descr="Un dibujo con letras&#10;&#10;El contenido generado por IA puede ser incorrecto.">
          <a:extLst>
            <a:ext uri="{FF2B5EF4-FFF2-40B4-BE49-F238E27FC236}">
              <a16:creationId xmlns:a16="http://schemas.microsoft.com/office/drawing/2014/main" id="{96817142-39FD-4CAF-9A1E-70396B789815}"/>
            </a:ext>
          </a:extLst>
        </xdr:cNvPr>
        <xdr:cNvPicPr>
          <a:picLocks noChangeAspect="1"/>
        </xdr:cNvPicPr>
      </xdr:nvPicPr>
      <xdr:blipFill>
        <a:blip xmlns:r="http://schemas.openxmlformats.org/officeDocument/2006/relationships" r:embed="rId4"/>
        <a:stretch>
          <a:fillRect/>
        </a:stretch>
      </xdr:blipFill>
      <xdr:spPr>
        <a:xfrm>
          <a:off x="538370" y="13011979"/>
          <a:ext cx="2170043" cy="435854"/>
        </a:xfrm>
        <a:prstGeom prst="rect">
          <a:avLst/>
        </a:prstGeom>
      </xdr:spPr>
    </xdr:pic>
    <xdr:clientData/>
  </xdr:twoCellAnchor>
  <xdr:twoCellAnchor editAs="oneCell">
    <xdr:from>
      <xdr:col>1</xdr:col>
      <xdr:colOff>0</xdr:colOff>
      <xdr:row>128</xdr:row>
      <xdr:rowOff>0</xdr:rowOff>
    </xdr:from>
    <xdr:to>
      <xdr:col>2</xdr:col>
      <xdr:colOff>1813890</xdr:colOff>
      <xdr:row>130</xdr:row>
      <xdr:rowOff>54854</xdr:rowOff>
    </xdr:to>
    <xdr:pic>
      <xdr:nvPicPr>
        <xdr:cNvPr id="7" name="Imagen 6" descr="Un dibujo con letras&#10;&#10;El contenido generado por IA puede ser incorrecto.">
          <a:extLst>
            <a:ext uri="{FF2B5EF4-FFF2-40B4-BE49-F238E27FC236}">
              <a16:creationId xmlns:a16="http://schemas.microsoft.com/office/drawing/2014/main" id="{D86675FB-DCBE-4201-9EE7-3EF0BEE7EF43}"/>
            </a:ext>
          </a:extLst>
        </xdr:cNvPr>
        <xdr:cNvPicPr>
          <a:picLocks noChangeAspect="1"/>
        </xdr:cNvPicPr>
      </xdr:nvPicPr>
      <xdr:blipFill>
        <a:blip xmlns:r="http://schemas.openxmlformats.org/officeDocument/2006/relationships" r:embed="rId4"/>
        <a:stretch>
          <a:fillRect/>
        </a:stretch>
      </xdr:blipFill>
      <xdr:spPr>
        <a:xfrm>
          <a:off x="182217" y="23878761"/>
          <a:ext cx="2170043" cy="43585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pageSetUpPr fitToPage="1"/>
  </sheetPr>
  <dimension ref="A1:Z619"/>
  <sheetViews>
    <sheetView tabSelected="1" view="pageBreakPreview" topLeftCell="A9" zoomScale="115" zoomScaleNormal="100" zoomScaleSheetLayoutView="115" workbookViewId="0">
      <selection activeCell="E136" sqref="E136"/>
    </sheetView>
  </sheetViews>
  <sheetFormatPr baseColWidth="10" defaultColWidth="11.3984375" defaultRowHeight="12.75" x14ac:dyDescent="0.35"/>
  <cols>
    <col min="1" max="1" width="2.73046875" style="5" customWidth="1"/>
    <col min="2" max="2" width="5.265625" style="5" customWidth="1"/>
    <col min="3" max="3" width="61.73046875" style="58" customWidth="1"/>
    <col min="4" max="4" width="10.73046875" style="59" customWidth="1"/>
    <col min="5" max="5" width="12.73046875" style="59" customWidth="1"/>
    <col min="6" max="6" width="27.73046875" style="59" customWidth="1"/>
    <col min="7" max="7" width="2.73046875" style="5" customWidth="1"/>
    <col min="8" max="8" width="5.73046875" style="5" customWidth="1"/>
    <col min="9" max="9" width="50.73046875" style="5" customWidth="1"/>
    <col min="10" max="12" width="11.3984375" style="5"/>
    <col min="13" max="26" width="11.3984375" style="2"/>
    <col min="27" max="16384" width="11.3984375" style="1"/>
  </cols>
  <sheetData>
    <row r="1" spans="1:11" ht="5.0999999999999996" customHeight="1" x14ac:dyDescent="0.35">
      <c r="A1" s="2"/>
      <c r="B1" s="2"/>
      <c r="C1" s="3"/>
      <c r="D1" s="4"/>
      <c r="E1" s="4"/>
      <c r="F1" s="4"/>
      <c r="G1" s="2"/>
      <c r="H1" s="2"/>
      <c r="I1" s="2"/>
      <c r="J1" s="2"/>
      <c r="K1" s="2"/>
    </row>
    <row r="2" spans="1:11" ht="15.4" x14ac:dyDescent="0.35">
      <c r="A2" s="180" t="s">
        <v>0</v>
      </c>
      <c r="B2" s="180"/>
      <c r="C2" s="180"/>
      <c r="D2" s="180"/>
      <c r="E2" s="180"/>
      <c r="F2" s="180"/>
      <c r="G2" s="180"/>
      <c r="H2" s="6"/>
      <c r="I2" s="2"/>
      <c r="J2" s="2"/>
      <c r="K2" s="2"/>
    </row>
    <row r="3" spans="1:11" ht="5.0999999999999996" customHeight="1" thickBot="1" x14ac:dyDescent="0.4">
      <c r="A3" s="2"/>
      <c r="B3" s="2"/>
      <c r="C3" s="2"/>
      <c r="D3" s="2"/>
      <c r="E3" s="2"/>
      <c r="F3" s="2"/>
      <c r="G3" s="2"/>
      <c r="H3" s="2"/>
      <c r="I3" s="2"/>
      <c r="J3" s="2"/>
      <c r="K3" s="2"/>
    </row>
    <row r="4" spans="1:11" ht="5.0999999999999996" customHeight="1" thickBot="1" x14ac:dyDescent="0.4">
      <c r="A4" s="2"/>
      <c r="B4" s="7"/>
      <c r="C4" s="8"/>
      <c r="D4" s="9"/>
      <c r="E4" s="9"/>
      <c r="F4" s="10"/>
      <c r="G4" s="2"/>
      <c r="H4" s="2"/>
      <c r="I4" s="2"/>
      <c r="J4" s="2"/>
      <c r="K4" s="2"/>
    </row>
    <row r="5" spans="1:11" ht="15" customHeight="1" x14ac:dyDescent="0.35">
      <c r="A5" s="2"/>
      <c r="B5" s="11"/>
      <c r="C5" s="12"/>
      <c r="D5" s="13" t="s">
        <v>1</v>
      </c>
      <c r="E5" s="181"/>
      <c r="F5" s="182"/>
      <c r="G5" s="2"/>
      <c r="H5" s="14" t="s">
        <v>2</v>
      </c>
      <c r="I5" s="183" t="s">
        <v>3</v>
      </c>
      <c r="J5" s="2"/>
      <c r="K5" s="2"/>
    </row>
    <row r="6" spans="1:11" ht="15" customHeight="1" x14ac:dyDescent="0.35">
      <c r="A6" s="2"/>
      <c r="B6" s="11"/>
      <c r="C6" s="12"/>
      <c r="D6" s="15" t="s">
        <v>4</v>
      </c>
      <c r="E6" s="184"/>
      <c r="F6" s="185"/>
      <c r="G6" s="2"/>
      <c r="H6" s="2"/>
      <c r="I6" s="183"/>
      <c r="J6" s="2"/>
      <c r="K6" s="2"/>
    </row>
    <row r="7" spans="1:11" ht="15" customHeight="1" x14ac:dyDescent="0.35">
      <c r="A7" s="2"/>
      <c r="B7" s="11"/>
      <c r="C7" s="12"/>
      <c r="D7" s="15" t="s">
        <v>5</v>
      </c>
      <c r="E7" s="184"/>
      <c r="F7" s="185"/>
      <c r="G7" s="2"/>
      <c r="H7" s="14"/>
      <c r="I7" s="16"/>
      <c r="J7" s="2"/>
      <c r="K7" s="2"/>
    </row>
    <row r="8" spans="1:11" ht="15" customHeight="1" x14ac:dyDescent="0.35">
      <c r="A8" s="2"/>
      <c r="B8" s="11"/>
      <c r="C8" s="12"/>
      <c r="D8" s="15" t="s">
        <v>6</v>
      </c>
      <c r="E8" s="184"/>
      <c r="F8" s="185"/>
      <c r="G8" s="2"/>
      <c r="H8" s="14"/>
      <c r="I8" s="2"/>
      <c r="J8" s="2"/>
      <c r="K8" s="2"/>
    </row>
    <row r="9" spans="1:11" ht="15" customHeight="1" x14ac:dyDescent="0.35">
      <c r="A9" s="2"/>
      <c r="B9" s="11"/>
      <c r="C9" s="17"/>
      <c r="D9" s="15" t="s">
        <v>7</v>
      </c>
      <c r="E9" s="184"/>
      <c r="F9" s="185"/>
      <c r="G9" s="2"/>
      <c r="H9" s="14"/>
      <c r="I9" s="186"/>
      <c r="J9" s="2"/>
      <c r="K9" s="2"/>
    </row>
    <row r="10" spans="1:11" ht="15" customHeight="1" x14ac:dyDescent="0.35">
      <c r="A10" s="2"/>
      <c r="B10" s="11"/>
      <c r="C10" s="18" t="s">
        <v>8</v>
      </c>
      <c r="D10" s="15" t="s">
        <v>9</v>
      </c>
      <c r="E10" s="184"/>
      <c r="F10" s="185"/>
      <c r="G10" s="2"/>
      <c r="H10" s="14"/>
      <c r="I10" s="186"/>
      <c r="J10" s="2"/>
      <c r="K10" s="2"/>
    </row>
    <row r="11" spans="1:11" ht="15" customHeight="1" thickBot="1" x14ac:dyDescent="0.4">
      <c r="A11" s="2"/>
      <c r="B11" s="11"/>
      <c r="C11" s="18" t="s">
        <v>10</v>
      </c>
      <c r="D11" s="19" t="s">
        <v>11</v>
      </c>
      <c r="E11" s="187"/>
      <c r="F11" s="188"/>
      <c r="G11" s="2"/>
      <c r="H11" s="14"/>
      <c r="I11" s="186"/>
      <c r="J11" s="2"/>
      <c r="K11" s="2"/>
    </row>
    <row r="12" spans="1:11" ht="5.0999999999999996" customHeight="1" thickBot="1" x14ac:dyDescent="0.4">
      <c r="A12" s="2"/>
      <c r="B12" s="20"/>
      <c r="C12" s="21"/>
      <c r="D12" s="22"/>
      <c r="E12" s="23"/>
      <c r="F12" s="24"/>
      <c r="G12" s="2"/>
      <c r="H12" s="2"/>
      <c r="I12" s="186"/>
      <c r="J12" s="2"/>
      <c r="K12" s="2"/>
    </row>
    <row r="13" spans="1:11" ht="15" customHeight="1" x14ac:dyDescent="0.35">
      <c r="A13" s="2"/>
      <c r="B13" s="2"/>
      <c r="C13" s="25"/>
      <c r="D13" s="26"/>
      <c r="E13" s="27"/>
      <c r="F13" s="28"/>
      <c r="G13" s="2"/>
      <c r="H13" s="2"/>
      <c r="I13" s="186"/>
      <c r="J13" s="2"/>
      <c r="K13" s="2"/>
    </row>
    <row r="14" spans="1:11" ht="15" customHeight="1" x14ac:dyDescent="0.35">
      <c r="A14" s="2"/>
      <c r="B14" s="2"/>
      <c r="C14" s="25"/>
      <c r="D14" s="26"/>
      <c r="E14" s="27"/>
      <c r="F14" s="28"/>
      <c r="G14" s="2"/>
      <c r="H14" s="2"/>
      <c r="I14" s="189" t="s">
        <v>12</v>
      </c>
      <c r="J14" s="2"/>
      <c r="K14" s="2"/>
    </row>
    <row r="15" spans="1:11" ht="15" customHeight="1" x14ac:dyDescent="0.35">
      <c r="A15" s="2"/>
      <c r="B15" s="2"/>
      <c r="C15" s="25"/>
      <c r="D15" s="26"/>
      <c r="E15" s="27"/>
      <c r="F15" s="28"/>
      <c r="G15" s="2"/>
      <c r="H15" s="2"/>
      <c r="I15" s="189"/>
      <c r="J15" s="2"/>
      <c r="K15" s="2"/>
    </row>
    <row r="16" spans="1:11" ht="15" customHeight="1" x14ac:dyDescent="0.35">
      <c r="A16" s="2"/>
      <c r="B16" s="2"/>
      <c r="C16" s="25"/>
      <c r="D16" s="26"/>
      <c r="E16" s="27"/>
      <c r="F16" s="28"/>
      <c r="G16" s="2"/>
      <c r="H16" s="2"/>
      <c r="I16" s="189"/>
      <c r="J16" s="2"/>
      <c r="K16" s="2"/>
    </row>
    <row r="17" spans="1:11" ht="15" customHeight="1" x14ac:dyDescent="0.35">
      <c r="A17" s="2"/>
      <c r="B17" s="2"/>
      <c r="C17" s="25"/>
      <c r="D17" s="26"/>
      <c r="E17" s="27"/>
      <c r="F17" s="28"/>
      <c r="G17" s="2"/>
      <c r="H17" s="2"/>
      <c r="I17" s="189"/>
      <c r="J17" s="2"/>
      <c r="K17" s="2"/>
    </row>
    <row r="18" spans="1:11" ht="15" customHeight="1" x14ac:dyDescent="0.35">
      <c r="A18" s="2"/>
      <c r="B18" s="2"/>
      <c r="C18" s="25"/>
      <c r="D18" s="26"/>
      <c r="E18" s="27"/>
      <c r="F18" s="28"/>
      <c r="G18" s="2"/>
      <c r="H18" s="2"/>
      <c r="I18" s="189"/>
      <c r="J18" s="2"/>
      <c r="K18" s="2"/>
    </row>
    <row r="19" spans="1:11" ht="15" customHeight="1" x14ac:dyDescent="0.35">
      <c r="A19" s="2"/>
      <c r="B19" s="2"/>
      <c r="C19" s="25"/>
      <c r="D19" s="26"/>
      <c r="E19" s="27"/>
      <c r="F19" s="28"/>
      <c r="G19" s="2"/>
      <c r="H19" s="2"/>
      <c r="I19" s="2"/>
      <c r="J19" s="66"/>
      <c r="K19" s="2"/>
    </row>
    <row r="20" spans="1:11" ht="15" customHeight="1" x14ac:dyDescent="0.35">
      <c r="A20" s="2"/>
      <c r="B20" s="2"/>
      <c r="C20" s="25"/>
      <c r="D20" s="26"/>
      <c r="E20" s="27"/>
      <c r="F20" s="28"/>
      <c r="G20" s="2"/>
      <c r="H20" s="2"/>
      <c r="I20" s="2"/>
      <c r="J20" s="66"/>
      <c r="K20" s="2"/>
    </row>
    <row r="21" spans="1:11" ht="15" customHeight="1" x14ac:dyDescent="0.35">
      <c r="A21" s="2"/>
      <c r="B21" s="2"/>
      <c r="C21" s="25"/>
      <c r="D21" s="26"/>
      <c r="E21" s="27"/>
      <c r="F21" s="28"/>
      <c r="G21" s="2"/>
      <c r="H21" s="2"/>
      <c r="I21" s="2"/>
      <c r="J21" s="66" t="str">
        <f t="shared" ref="J21:J27" si="0">IF(E5="","",1)</f>
        <v/>
      </c>
      <c r="K21" s="2"/>
    </row>
    <row r="22" spans="1:11" ht="15" customHeight="1" x14ac:dyDescent="0.35">
      <c r="A22" s="2"/>
      <c r="B22" s="2"/>
      <c r="C22" s="25"/>
      <c r="D22" s="26"/>
      <c r="E22" s="27"/>
      <c r="F22" s="28"/>
      <c r="G22" s="2"/>
      <c r="H22" s="2"/>
      <c r="I22" s="2"/>
      <c r="J22" s="66" t="str">
        <f t="shared" si="0"/>
        <v/>
      </c>
      <c r="K22" s="2"/>
    </row>
    <row r="23" spans="1:11" ht="15" customHeight="1" x14ac:dyDescent="0.35">
      <c r="A23" s="2"/>
      <c r="B23" s="2"/>
      <c r="C23" s="25"/>
      <c r="D23" s="26"/>
      <c r="E23" s="27"/>
      <c r="F23" s="28"/>
      <c r="G23" s="2"/>
      <c r="H23" s="2"/>
      <c r="I23" s="2"/>
      <c r="J23" s="66" t="str">
        <f t="shared" si="0"/>
        <v/>
      </c>
      <c r="K23" s="2"/>
    </row>
    <row r="24" spans="1:11" ht="15" customHeight="1" x14ac:dyDescent="0.35">
      <c r="A24" s="2"/>
      <c r="B24" s="2"/>
      <c r="C24" s="25"/>
      <c r="D24" s="26"/>
      <c r="E24" s="27"/>
      <c r="F24" s="28"/>
      <c r="G24" s="2"/>
      <c r="H24" s="2"/>
      <c r="I24" s="29"/>
      <c r="J24" s="66" t="str">
        <f t="shared" si="0"/>
        <v/>
      </c>
      <c r="K24" s="2"/>
    </row>
    <row r="25" spans="1:11" ht="15" customHeight="1" x14ac:dyDescent="0.35">
      <c r="A25" s="2"/>
      <c r="B25" s="2"/>
      <c r="C25" s="25"/>
      <c r="D25" s="26"/>
      <c r="E25" s="27"/>
      <c r="F25" s="28"/>
      <c r="G25" s="2"/>
      <c r="H25" s="2"/>
      <c r="I25" s="2"/>
      <c r="J25" s="66" t="str">
        <f t="shared" si="0"/>
        <v/>
      </c>
      <c r="K25" s="2"/>
    </row>
    <row r="26" spans="1:11" ht="15" customHeight="1" x14ac:dyDescent="0.35">
      <c r="A26" s="2"/>
      <c r="B26" s="2"/>
      <c r="C26" s="25"/>
      <c r="D26" s="26"/>
      <c r="E26" s="27"/>
      <c r="F26" s="28"/>
      <c r="G26" s="2"/>
      <c r="H26" s="2"/>
      <c r="I26" s="186"/>
      <c r="J26" s="66" t="str">
        <f t="shared" si="0"/>
        <v/>
      </c>
      <c r="K26" s="2"/>
    </row>
    <row r="27" spans="1:11" ht="15" customHeight="1" x14ac:dyDescent="0.35">
      <c r="A27" s="2"/>
      <c r="B27" s="2"/>
      <c r="C27" s="25"/>
      <c r="D27" s="26"/>
      <c r="E27" s="27"/>
      <c r="F27" s="28"/>
      <c r="G27" s="2"/>
      <c r="H27" s="2"/>
      <c r="I27" s="186"/>
      <c r="J27" s="66" t="str">
        <f t="shared" si="0"/>
        <v/>
      </c>
      <c r="K27" s="2"/>
    </row>
    <row r="28" spans="1:11" ht="15" customHeight="1" x14ac:dyDescent="0.35">
      <c r="A28" s="2"/>
      <c r="B28" s="2"/>
      <c r="C28" s="25"/>
      <c r="D28" s="26"/>
      <c r="E28" s="27"/>
      <c r="F28" s="28"/>
      <c r="G28" s="2"/>
      <c r="H28" s="2"/>
      <c r="I28" s="186"/>
      <c r="J28" s="66" t="str">
        <f>IF(COUNTA(C136:C598)=0,"",1)</f>
        <v/>
      </c>
      <c r="K28" s="2"/>
    </row>
    <row r="29" spans="1:11" ht="15" customHeight="1" x14ac:dyDescent="0.35">
      <c r="A29" s="2"/>
      <c r="B29" s="2"/>
      <c r="C29" s="25"/>
      <c r="D29" s="26"/>
      <c r="E29" s="27"/>
      <c r="F29" s="28"/>
      <c r="G29" s="2"/>
      <c r="H29" s="2"/>
      <c r="I29" s="186"/>
      <c r="J29" s="66">
        <f>IF(E604="","",1)</f>
        <v>1</v>
      </c>
      <c r="K29" s="2"/>
    </row>
    <row r="30" spans="1:11" ht="15" customHeight="1" x14ac:dyDescent="0.35">
      <c r="A30" s="2"/>
      <c r="B30" s="2"/>
      <c r="C30" s="25"/>
      <c r="D30" s="26"/>
      <c r="E30" s="27"/>
      <c r="F30" s="28"/>
      <c r="G30" s="2"/>
      <c r="H30" s="2"/>
      <c r="I30" s="186"/>
      <c r="J30" s="66">
        <f>SUM(J21:J29)</f>
        <v>1</v>
      </c>
      <c r="K30" s="2"/>
    </row>
    <row r="31" spans="1:11" ht="15" customHeight="1" x14ac:dyDescent="0.35">
      <c r="A31" s="2"/>
      <c r="B31" s="2"/>
      <c r="C31" s="25"/>
      <c r="D31" s="26"/>
      <c r="E31" s="27"/>
      <c r="F31" s="28"/>
      <c r="G31" s="2"/>
      <c r="H31" s="2"/>
      <c r="I31" s="186"/>
      <c r="J31" s="2"/>
      <c r="K31" s="2"/>
    </row>
    <row r="32" spans="1:11" ht="15" customHeight="1" x14ac:dyDescent="0.35">
      <c r="A32" s="2"/>
      <c r="B32" s="2"/>
      <c r="C32" s="25"/>
      <c r="D32" s="26"/>
      <c r="E32" s="27"/>
      <c r="F32" s="28"/>
      <c r="G32" s="2"/>
      <c r="H32" s="2"/>
      <c r="I32" s="2"/>
      <c r="J32" s="2"/>
      <c r="K32" s="2"/>
    </row>
    <row r="33" spans="1:11" ht="15" customHeight="1" x14ac:dyDescent="0.35">
      <c r="A33" s="2"/>
      <c r="B33" s="2"/>
      <c r="C33" s="25"/>
      <c r="D33" s="26"/>
      <c r="E33" s="27"/>
      <c r="F33" s="28"/>
      <c r="G33" s="2"/>
      <c r="H33" s="2"/>
      <c r="I33" s="2"/>
      <c r="J33" s="2"/>
      <c r="K33" s="2"/>
    </row>
    <row r="34" spans="1:11" ht="15" customHeight="1" x14ac:dyDescent="0.35">
      <c r="A34" s="2"/>
      <c r="B34" s="2"/>
      <c r="C34" s="25"/>
      <c r="D34" s="26"/>
      <c r="E34" s="27"/>
      <c r="F34" s="28"/>
      <c r="G34" s="2"/>
      <c r="H34" s="2"/>
      <c r="I34" s="2"/>
      <c r="J34" s="2"/>
      <c r="K34" s="2"/>
    </row>
    <row r="35" spans="1:11" ht="15" customHeight="1" x14ac:dyDescent="0.35">
      <c r="A35" s="2"/>
      <c r="B35" s="2"/>
      <c r="C35" s="25"/>
      <c r="D35" s="26"/>
      <c r="E35" s="27"/>
      <c r="F35" s="28"/>
      <c r="G35" s="2"/>
      <c r="H35" s="2"/>
      <c r="I35" s="2"/>
      <c r="J35" s="2"/>
      <c r="K35" s="2"/>
    </row>
    <row r="36" spans="1:11" ht="15" customHeight="1" x14ac:dyDescent="0.35">
      <c r="A36" s="2"/>
      <c r="B36" s="2"/>
      <c r="C36" s="25"/>
      <c r="D36" s="26"/>
      <c r="E36" s="27"/>
      <c r="F36" s="28"/>
      <c r="G36" s="2"/>
      <c r="H36" s="2"/>
      <c r="I36" s="2"/>
      <c r="J36" s="2"/>
      <c r="K36" s="2"/>
    </row>
    <row r="37" spans="1:11" ht="15" customHeight="1" x14ac:dyDescent="0.35">
      <c r="A37" s="2"/>
      <c r="B37" s="2"/>
      <c r="C37" s="25"/>
      <c r="D37" s="26"/>
      <c r="E37" s="27"/>
      <c r="F37" s="28"/>
      <c r="G37" s="2"/>
      <c r="H37" s="2"/>
      <c r="I37" s="2"/>
      <c r="J37" s="2"/>
      <c r="K37" s="2"/>
    </row>
    <row r="38" spans="1:11" ht="15" customHeight="1" x14ac:dyDescent="0.35">
      <c r="A38" s="2"/>
      <c r="B38" s="2"/>
      <c r="C38" s="25"/>
      <c r="D38" s="26"/>
      <c r="E38" s="27"/>
      <c r="F38" s="28"/>
      <c r="G38" s="2"/>
      <c r="H38" s="2"/>
      <c r="I38" s="2"/>
      <c r="J38" s="2"/>
      <c r="K38" s="2"/>
    </row>
    <row r="39" spans="1:11" ht="15" customHeight="1" x14ac:dyDescent="0.35">
      <c r="A39" s="2"/>
      <c r="B39" s="2"/>
      <c r="C39" s="25"/>
      <c r="D39" s="26"/>
      <c r="E39" s="27"/>
      <c r="F39" s="28"/>
      <c r="G39" s="2"/>
      <c r="H39" s="2"/>
      <c r="I39" s="2"/>
      <c r="J39" s="2"/>
      <c r="K39" s="2"/>
    </row>
    <row r="40" spans="1:11" ht="15" customHeight="1" x14ac:dyDescent="0.35">
      <c r="A40" s="2"/>
      <c r="B40" s="2"/>
      <c r="C40" s="25"/>
      <c r="D40" s="26"/>
      <c r="E40" s="27"/>
      <c r="F40" s="28"/>
      <c r="G40" s="2"/>
      <c r="H40" s="2"/>
      <c r="I40" s="2"/>
      <c r="J40" s="2"/>
      <c r="K40" s="2"/>
    </row>
    <row r="41" spans="1:11" ht="15" customHeight="1" x14ac:dyDescent="0.35">
      <c r="A41" s="2"/>
      <c r="B41" s="2"/>
      <c r="C41" s="25"/>
      <c r="D41" s="26"/>
      <c r="E41" s="27"/>
      <c r="F41" s="28"/>
      <c r="G41" s="2"/>
      <c r="H41" s="2"/>
      <c r="I41" s="2"/>
      <c r="J41" s="2"/>
      <c r="K41" s="2"/>
    </row>
    <row r="42" spans="1:11" ht="15" customHeight="1" x14ac:dyDescent="0.35">
      <c r="A42" s="2"/>
      <c r="B42" s="2"/>
      <c r="C42" s="25"/>
      <c r="D42" s="26"/>
      <c r="E42" s="27"/>
      <c r="F42" s="28"/>
      <c r="G42" s="2"/>
      <c r="H42" s="2"/>
      <c r="I42" s="2"/>
      <c r="J42" s="2"/>
      <c r="K42" s="2"/>
    </row>
    <row r="43" spans="1:11" ht="15" customHeight="1" x14ac:dyDescent="0.35">
      <c r="A43" s="2"/>
      <c r="B43" s="2"/>
      <c r="C43" s="25"/>
      <c r="D43" s="26"/>
      <c r="E43" s="27"/>
      <c r="F43" s="28"/>
      <c r="G43" s="2"/>
      <c r="H43" s="2"/>
      <c r="I43" s="2"/>
      <c r="J43" s="2"/>
      <c r="K43" s="2"/>
    </row>
    <row r="44" spans="1:11" ht="15" customHeight="1" x14ac:dyDescent="0.35">
      <c r="A44" s="2"/>
      <c r="B44" s="2"/>
      <c r="C44" s="25"/>
      <c r="D44" s="26"/>
      <c r="E44" s="27"/>
      <c r="F44" s="28"/>
      <c r="G44" s="2"/>
      <c r="H44" s="2"/>
      <c r="I44" s="2"/>
      <c r="J44" s="2"/>
      <c r="K44" s="2"/>
    </row>
    <row r="45" spans="1:11" ht="15" customHeight="1" x14ac:dyDescent="0.35">
      <c r="A45" s="2"/>
      <c r="B45" s="2"/>
      <c r="C45" s="25"/>
      <c r="D45" s="26"/>
      <c r="E45" s="27"/>
      <c r="F45" s="28"/>
      <c r="G45" s="2"/>
      <c r="H45" s="2"/>
      <c r="I45" s="2"/>
      <c r="J45" s="2"/>
      <c r="K45" s="2"/>
    </row>
    <row r="46" spans="1:11" ht="15" customHeight="1" x14ac:dyDescent="0.35">
      <c r="A46" s="2"/>
      <c r="B46" s="2"/>
      <c r="C46" s="25"/>
      <c r="D46" s="26"/>
      <c r="E46" s="27"/>
      <c r="F46" s="28"/>
      <c r="G46" s="2"/>
      <c r="H46" s="2"/>
      <c r="I46" s="2"/>
      <c r="J46" s="2"/>
      <c r="K46" s="2"/>
    </row>
    <row r="47" spans="1:11" ht="15" customHeight="1" x14ac:dyDescent="0.35">
      <c r="A47" s="2"/>
      <c r="B47" s="2"/>
      <c r="C47" s="25"/>
      <c r="D47" s="26"/>
      <c r="E47" s="27"/>
      <c r="F47" s="28"/>
      <c r="G47" s="2"/>
      <c r="H47" s="2"/>
      <c r="I47" s="2"/>
      <c r="J47" s="2"/>
      <c r="K47" s="2"/>
    </row>
    <row r="48" spans="1:11" ht="15" customHeight="1" x14ac:dyDescent="0.35">
      <c r="A48" s="2"/>
      <c r="B48" s="2"/>
      <c r="C48" s="25"/>
      <c r="D48" s="26"/>
      <c r="E48" s="27"/>
      <c r="F48" s="28"/>
      <c r="G48" s="2"/>
      <c r="H48" s="2"/>
      <c r="I48" s="2"/>
      <c r="J48" s="2"/>
      <c r="K48" s="2"/>
    </row>
    <row r="49" spans="1:11" ht="15" customHeight="1" x14ac:dyDescent="0.35">
      <c r="A49" s="2"/>
      <c r="B49" s="2"/>
      <c r="C49" s="25"/>
      <c r="D49" s="26"/>
      <c r="E49" s="27"/>
      <c r="F49" s="28"/>
      <c r="G49" s="2"/>
      <c r="H49" s="2"/>
      <c r="I49" s="2"/>
      <c r="J49" s="2"/>
      <c r="K49" s="2"/>
    </row>
    <row r="50" spans="1:11" ht="15" customHeight="1" x14ac:dyDescent="0.35">
      <c r="A50" s="2"/>
      <c r="B50" s="2"/>
      <c r="C50" s="25"/>
      <c r="D50" s="26"/>
      <c r="E50" s="27"/>
      <c r="F50" s="28"/>
      <c r="G50" s="2"/>
      <c r="H50" s="2"/>
      <c r="I50" s="2"/>
      <c r="J50" s="2"/>
      <c r="K50" s="2"/>
    </row>
    <row r="51" spans="1:11" ht="15" customHeight="1" x14ac:dyDescent="0.35">
      <c r="A51" s="2"/>
      <c r="B51" s="2"/>
      <c r="C51" s="25"/>
      <c r="D51" s="26"/>
      <c r="E51" s="27"/>
      <c r="F51" s="28"/>
      <c r="G51" s="2"/>
      <c r="H51" s="2"/>
      <c r="I51" s="2"/>
      <c r="J51" s="2"/>
      <c r="K51" s="2"/>
    </row>
    <row r="52" spans="1:11" ht="15" customHeight="1" x14ac:dyDescent="0.35">
      <c r="A52" s="2"/>
      <c r="B52" s="2"/>
      <c r="C52" s="25"/>
      <c r="D52" s="26"/>
      <c r="E52" s="27"/>
      <c r="F52" s="28"/>
      <c r="G52" s="2"/>
      <c r="H52" s="2"/>
      <c r="I52" s="2"/>
      <c r="J52" s="2"/>
      <c r="K52" s="2"/>
    </row>
    <row r="53" spans="1:11" ht="15" customHeight="1" x14ac:dyDescent="0.35">
      <c r="A53" s="2"/>
      <c r="B53" s="2"/>
      <c r="C53" s="25"/>
      <c r="D53" s="26"/>
      <c r="E53" s="27"/>
      <c r="F53" s="28"/>
      <c r="G53" s="2"/>
      <c r="H53" s="2"/>
      <c r="I53" s="2"/>
      <c r="J53" s="2"/>
      <c r="K53" s="2"/>
    </row>
    <row r="54" spans="1:11" ht="15" customHeight="1" x14ac:dyDescent="0.35">
      <c r="A54" s="2"/>
      <c r="B54" s="2"/>
      <c r="C54" s="25"/>
      <c r="D54" s="26"/>
      <c r="E54" s="27"/>
      <c r="F54" s="28"/>
      <c r="G54" s="2"/>
      <c r="H54" s="2"/>
      <c r="I54" s="2"/>
      <c r="J54" s="2"/>
      <c r="K54" s="2"/>
    </row>
    <row r="55" spans="1:11" ht="15" customHeight="1" x14ac:dyDescent="0.35">
      <c r="A55" s="2"/>
      <c r="B55" s="2"/>
      <c r="C55" s="25"/>
      <c r="D55" s="26"/>
      <c r="E55" s="27"/>
      <c r="F55" s="28"/>
      <c r="G55" s="2"/>
      <c r="H55" s="2"/>
      <c r="I55" s="2"/>
      <c r="J55" s="2"/>
      <c r="K55" s="2"/>
    </row>
    <row r="56" spans="1:11" ht="15" customHeight="1" x14ac:dyDescent="0.35">
      <c r="A56" s="2"/>
      <c r="B56" s="2"/>
      <c r="C56" s="25"/>
      <c r="D56" s="26"/>
      <c r="E56" s="27"/>
      <c r="F56" s="28"/>
      <c r="G56" s="2"/>
      <c r="H56" s="2"/>
      <c r="I56" s="2"/>
      <c r="J56" s="2"/>
      <c r="K56" s="2"/>
    </row>
    <row r="57" spans="1:11" ht="15" customHeight="1" x14ac:dyDescent="0.35">
      <c r="A57" s="2"/>
      <c r="B57" s="2"/>
      <c r="C57" s="25"/>
      <c r="D57" s="26"/>
      <c r="E57" s="27"/>
      <c r="F57" s="28"/>
      <c r="G57" s="2"/>
      <c r="H57" s="2"/>
      <c r="I57" s="2"/>
      <c r="J57" s="2"/>
      <c r="K57" s="2"/>
    </row>
    <row r="58" spans="1:11" ht="15" customHeight="1" x14ac:dyDescent="0.35">
      <c r="A58" s="2"/>
      <c r="B58" s="2"/>
      <c r="C58" s="25"/>
      <c r="D58" s="26"/>
      <c r="E58" s="27"/>
      <c r="F58" s="28"/>
      <c r="G58" s="2"/>
      <c r="H58" s="2"/>
      <c r="I58" s="2"/>
      <c r="J58" s="2"/>
      <c r="K58" s="2"/>
    </row>
    <row r="59" spans="1:11" ht="15" customHeight="1" x14ac:dyDescent="0.35">
      <c r="A59" s="2"/>
      <c r="B59" s="2"/>
      <c r="C59" s="25"/>
      <c r="D59" s="26"/>
      <c r="E59" s="27"/>
      <c r="F59" s="28"/>
      <c r="G59" s="2"/>
      <c r="H59" s="2"/>
      <c r="I59" s="2"/>
      <c r="J59" s="2"/>
      <c r="K59" s="2"/>
    </row>
    <row r="60" spans="1:11" ht="15" customHeight="1" x14ac:dyDescent="0.35">
      <c r="A60" s="2"/>
      <c r="B60" s="2"/>
      <c r="C60" s="25"/>
      <c r="D60" s="26"/>
      <c r="E60" s="27"/>
      <c r="F60" s="28"/>
      <c r="G60" s="2"/>
      <c r="H60" s="2"/>
      <c r="I60" s="2"/>
      <c r="J60" s="2"/>
      <c r="K60" s="2"/>
    </row>
    <row r="61" spans="1:11" ht="15" customHeight="1" x14ac:dyDescent="0.35">
      <c r="A61" s="2"/>
      <c r="B61" s="2"/>
      <c r="C61" s="25"/>
      <c r="D61" s="26"/>
      <c r="E61" s="27"/>
      <c r="F61" s="28"/>
      <c r="G61" s="2"/>
      <c r="H61" s="2"/>
      <c r="I61" s="2"/>
      <c r="J61" s="2"/>
      <c r="K61" s="2"/>
    </row>
    <row r="62" spans="1:11" ht="15" customHeight="1" x14ac:dyDescent="0.35">
      <c r="A62" s="2"/>
      <c r="B62" s="2"/>
      <c r="C62" s="25"/>
      <c r="D62" s="26"/>
      <c r="E62" s="27"/>
      <c r="F62" s="28"/>
      <c r="G62" s="2"/>
      <c r="H62" s="2"/>
      <c r="I62" s="2"/>
      <c r="J62" s="2"/>
      <c r="K62" s="2"/>
    </row>
    <row r="63" spans="1:11" ht="15" customHeight="1" x14ac:dyDescent="0.35">
      <c r="A63" s="2"/>
      <c r="B63" s="2"/>
      <c r="C63" s="25"/>
      <c r="D63" s="26"/>
      <c r="E63" s="27"/>
      <c r="F63" s="28"/>
      <c r="G63" s="2"/>
      <c r="H63" s="2"/>
      <c r="I63" s="2"/>
      <c r="J63" s="2"/>
      <c r="K63" s="2"/>
    </row>
    <row r="64" spans="1:11" ht="15" customHeight="1" x14ac:dyDescent="0.35">
      <c r="A64" s="2"/>
      <c r="B64" s="199" t="s">
        <v>13</v>
      </c>
      <c r="C64" s="199"/>
      <c r="D64" s="199"/>
      <c r="E64" s="199"/>
      <c r="F64" s="199"/>
      <c r="G64" s="2"/>
      <c r="H64" s="2"/>
      <c r="I64" s="2"/>
      <c r="J64" s="2"/>
      <c r="K64" s="2"/>
    </row>
    <row r="65" spans="1:11" ht="15" customHeight="1" x14ac:dyDescent="0.35">
      <c r="A65" s="2"/>
      <c r="B65" s="199"/>
      <c r="C65" s="199"/>
      <c r="D65" s="199"/>
      <c r="E65" s="199"/>
      <c r="F65" s="199"/>
      <c r="G65" s="2"/>
      <c r="H65" s="2"/>
      <c r="I65" s="2"/>
      <c r="J65" s="2"/>
      <c r="K65" s="2"/>
    </row>
    <row r="66" spans="1:11" ht="15" customHeight="1" x14ac:dyDescent="0.35">
      <c r="A66" s="2"/>
      <c r="B66" s="2"/>
      <c r="C66" s="25"/>
      <c r="D66" s="26"/>
      <c r="E66" s="27"/>
      <c r="F66" s="28"/>
      <c r="G66" s="2"/>
      <c r="H66" s="2"/>
      <c r="I66" s="2"/>
      <c r="J66" s="2"/>
      <c r="K66" s="2"/>
    </row>
    <row r="67" spans="1:11" ht="15" customHeight="1" x14ac:dyDescent="0.35">
      <c r="A67" s="2"/>
      <c r="B67" s="2"/>
      <c r="C67" s="25"/>
      <c r="D67" s="26"/>
      <c r="E67" s="27"/>
      <c r="F67" s="28"/>
      <c r="G67" s="2"/>
      <c r="H67" s="2"/>
      <c r="I67" s="2"/>
      <c r="J67" s="2"/>
      <c r="K67" s="2"/>
    </row>
    <row r="68" spans="1:11" ht="15" customHeight="1" x14ac:dyDescent="0.35">
      <c r="A68" s="2"/>
      <c r="B68" s="2"/>
      <c r="C68" s="25"/>
      <c r="D68" s="26"/>
      <c r="E68" s="27"/>
      <c r="F68" s="28"/>
      <c r="G68" s="2"/>
      <c r="H68" s="2"/>
      <c r="I68" s="2"/>
      <c r="J68" s="2"/>
      <c r="K68" s="2"/>
    </row>
    <row r="69" spans="1:11" ht="15" customHeight="1" x14ac:dyDescent="0.35">
      <c r="A69" s="2"/>
      <c r="B69" s="2"/>
      <c r="C69" s="25"/>
      <c r="D69" s="26"/>
      <c r="E69" s="27"/>
      <c r="F69" s="28"/>
      <c r="G69" s="2"/>
      <c r="H69" s="2"/>
      <c r="I69" s="2"/>
      <c r="J69" s="2"/>
      <c r="K69" s="2"/>
    </row>
    <row r="70" spans="1:11" ht="15" customHeight="1" x14ac:dyDescent="0.35">
      <c r="A70" s="2"/>
      <c r="B70" s="2"/>
      <c r="C70" s="25"/>
      <c r="D70" s="26"/>
      <c r="E70" s="27"/>
      <c r="F70" s="28"/>
      <c r="G70" s="2"/>
      <c r="H70" s="2"/>
      <c r="I70" s="2"/>
      <c r="J70" s="2"/>
      <c r="K70" s="2"/>
    </row>
    <row r="71" spans="1:11" ht="15" customHeight="1" x14ac:dyDescent="0.35">
      <c r="A71" s="2"/>
      <c r="B71" s="2"/>
      <c r="C71" s="25"/>
      <c r="D71" s="26"/>
      <c r="E71" s="27"/>
      <c r="F71" s="28"/>
      <c r="G71" s="2"/>
      <c r="H71" s="2"/>
      <c r="I71" s="2"/>
      <c r="J71" s="2"/>
      <c r="K71" s="2"/>
    </row>
    <row r="72" spans="1:11" ht="15.75" customHeight="1" x14ac:dyDescent="0.35">
      <c r="A72" s="2"/>
      <c r="B72" s="2"/>
      <c r="C72" s="30" t="s">
        <v>14</v>
      </c>
      <c r="D72" s="31" t="str">
        <f>IF(E5="","",E5)</f>
        <v/>
      </c>
      <c r="E72" s="27"/>
      <c r="F72" s="28"/>
      <c r="G72" s="2"/>
      <c r="H72" s="14" t="s">
        <v>2</v>
      </c>
      <c r="I72" s="194" t="s">
        <v>15</v>
      </c>
      <c r="J72" s="2"/>
      <c r="K72" s="2"/>
    </row>
    <row r="73" spans="1:11" ht="15" customHeight="1" x14ac:dyDescent="0.35">
      <c r="A73" s="2"/>
      <c r="B73" s="2"/>
      <c r="C73" s="30" t="s">
        <v>5</v>
      </c>
      <c r="D73" s="32" t="str">
        <f>IF(E7="","",E7)</f>
        <v/>
      </c>
      <c r="E73" s="2"/>
      <c r="F73" s="2"/>
      <c r="G73" s="2"/>
      <c r="H73" s="14"/>
      <c r="I73" s="194"/>
      <c r="J73" s="2"/>
      <c r="K73" s="2"/>
    </row>
    <row r="74" spans="1:11" ht="15" customHeight="1" x14ac:dyDescent="0.35">
      <c r="A74" s="2"/>
      <c r="B74" s="2"/>
      <c r="C74" s="30"/>
      <c r="D74" s="4"/>
      <c r="E74" s="2"/>
      <c r="F74" s="2"/>
      <c r="G74" s="2"/>
      <c r="H74" s="2"/>
      <c r="I74" s="194"/>
      <c r="J74" s="2"/>
      <c r="K74" s="2"/>
    </row>
    <row r="75" spans="1:11" ht="15" customHeight="1" x14ac:dyDescent="0.35">
      <c r="A75" s="2"/>
      <c r="B75" s="2"/>
      <c r="C75" s="30"/>
      <c r="D75" s="4"/>
      <c r="E75" s="2"/>
      <c r="F75" s="2"/>
      <c r="G75" s="2"/>
      <c r="H75" s="2"/>
      <c r="I75" s="3"/>
      <c r="J75" s="2"/>
      <c r="K75" s="2"/>
    </row>
    <row r="76" spans="1:11" ht="15" customHeight="1" x14ac:dyDescent="0.35">
      <c r="A76" s="2"/>
      <c r="B76" s="2"/>
      <c r="C76" s="2"/>
      <c r="D76" s="2"/>
      <c r="E76" s="2"/>
      <c r="F76" s="2"/>
      <c r="G76" s="2"/>
      <c r="H76" s="2"/>
      <c r="I76" s="3"/>
      <c r="J76" s="2"/>
      <c r="K76" s="2"/>
    </row>
    <row r="77" spans="1:11" ht="15" customHeight="1" x14ac:dyDescent="0.35">
      <c r="A77" s="2"/>
      <c r="B77" s="2"/>
      <c r="C77" s="2"/>
      <c r="D77" s="2"/>
      <c r="E77" s="2"/>
      <c r="F77" s="2"/>
      <c r="G77" s="2"/>
      <c r="H77" s="2"/>
      <c r="I77" s="3"/>
      <c r="J77" s="2"/>
      <c r="K77" s="2"/>
    </row>
    <row r="78" spans="1:11" ht="15" customHeight="1" x14ac:dyDescent="0.35">
      <c r="A78" s="2"/>
      <c r="B78" s="2"/>
      <c r="C78" s="2"/>
      <c r="D78" s="2"/>
      <c r="E78" s="2"/>
      <c r="F78" s="2"/>
      <c r="G78" s="2"/>
      <c r="H78" s="2"/>
      <c r="I78" s="3"/>
      <c r="J78" s="2"/>
      <c r="K78" s="2"/>
    </row>
    <row r="79" spans="1:11" ht="15" customHeight="1" x14ac:dyDescent="0.35">
      <c r="A79" s="2"/>
      <c r="B79" s="2"/>
      <c r="C79" s="2"/>
      <c r="D79" s="2"/>
      <c r="E79" s="2"/>
      <c r="F79" s="2"/>
      <c r="G79" s="2"/>
      <c r="H79" s="2"/>
      <c r="I79" s="3"/>
      <c r="J79" s="2"/>
      <c r="K79" s="2"/>
    </row>
    <row r="80" spans="1:11" ht="15" customHeight="1" x14ac:dyDescent="0.35">
      <c r="A80" s="2"/>
      <c r="B80" s="2"/>
      <c r="C80" s="2"/>
      <c r="D80" s="2"/>
      <c r="E80" s="2"/>
      <c r="F80" s="2"/>
      <c r="G80" s="2"/>
      <c r="H80" s="2"/>
      <c r="I80" s="3"/>
      <c r="J80" s="2"/>
      <c r="K80" s="2"/>
    </row>
    <row r="81" spans="1:11" ht="15" customHeight="1" x14ac:dyDescent="0.35">
      <c r="A81" s="2"/>
      <c r="B81" s="2"/>
      <c r="C81" s="2"/>
      <c r="D81" s="2"/>
      <c r="E81" s="2"/>
      <c r="F81" s="2"/>
      <c r="G81" s="2"/>
      <c r="H81" s="2"/>
      <c r="I81" s="3"/>
      <c r="J81" s="2"/>
      <c r="K81" s="2"/>
    </row>
    <row r="82" spans="1:11" ht="15" customHeight="1" x14ac:dyDescent="0.35">
      <c r="A82" s="2"/>
      <c r="B82" s="2"/>
      <c r="C82" s="2"/>
      <c r="D82" s="2"/>
      <c r="E82" s="2"/>
      <c r="F82" s="2"/>
      <c r="G82" s="2"/>
      <c r="H82" s="2"/>
      <c r="I82" s="3"/>
      <c r="J82" s="2"/>
      <c r="K82" s="2"/>
    </row>
    <row r="83" spans="1:11" ht="15" customHeight="1" x14ac:dyDescent="0.35">
      <c r="A83" s="2"/>
      <c r="B83" s="2"/>
      <c r="C83" s="2"/>
      <c r="D83" s="2"/>
      <c r="E83" s="2"/>
      <c r="F83" s="2"/>
      <c r="G83" s="2"/>
      <c r="H83" s="2"/>
      <c r="I83" s="3"/>
      <c r="J83" s="2"/>
      <c r="K83" s="2"/>
    </row>
    <row r="84" spans="1:11" ht="15" customHeight="1" x14ac:dyDescent="0.35">
      <c r="A84" s="2"/>
      <c r="B84" s="2"/>
      <c r="C84" s="2"/>
      <c r="D84" s="2"/>
      <c r="E84" s="2"/>
      <c r="F84" s="2"/>
      <c r="G84" s="2"/>
      <c r="H84" s="2"/>
      <c r="I84" s="3"/>
      <c r="J84" s="2"/>
      <c r="K84" s="2"/>
    </row>
    <row r="85" spans="1:11" ht="15" customHeight="1" x14ac:dyDescent="0.35">
      <c r="A85" s="2"/>
      <c r="B85" s="2"/>
      <c r="C85" s="2"/>
      <c r="D85" s="2"/>
      <c r="E85" s="2"/>
      <c r="F85" s="2"/>
      <c r="G85" s="2"/>
      <c r="H85" s="2"/>
      <c r="I85" s="3"/>
      <c r="J85" s="2"/>
      <c r="K85" s="2"/>
    </row>
    <row r="86" spans="1:11" ht="15" customHeight="1" x14ac:dyDescent="0.35">
      <c r="A86" s="2"/>
      <c r="B86" s="2"/>
      <c r="C86" s="2"/>
      <c r="D86" s="2"/>
      <c r="E86" s="2"/>
      <c r="F86" s="2"/>
      <c r="G86" s="2"/>
      <c r="H86" s="2"/>
      <c r="I86" s="3"/>
      <c r="J86" s="2"/>
      <c r="K86" s="2"/>
    </row>
    <row r="87" spans="1:11" ht="15" customHeight="1" x14ac:dyDescent="0.35">
      <c r="A87" s="2"/>
      <c r="B87" s="2"/>
      <c r="C87" s="2"/>
      <c r="D87" s="2"/>
      <c r="E87" s="2"/>
      <c r="F87" s="2"/>
      <c r="G87" s="2"/>
      <c r="H87" s="2"/>
      <c r="I87" s="3"/>
      <c r="J87" s="2"/>
      <c r="K87" s="2"/>
    </row>
    <row r="88" spans="1:11" ht="15" customHeight="1" x14ac:dyDescent="0.35">
      <c r="A88" s="2"/>
      <c r="B88" s="2"/>
      <c r="C88" s="2"/>
      <c r="D88" s="2"/>
      <c r="E88" s="2"/>
      <c r="F88" s="2"/>
      <c r="G88" s="2"/>
      <c r="H88" s="2"/>
      <c r="I88" s="3"/>
      <c r="J88" s="2"/>
      <c r="K88" s="2"/>
    </row>
    <row r="89" spans="1:11" ht="15" customHeight="1" x14ac:dyDescent="0.35">
      <c r="A89" s="2"/>
      <c r="B89" s="2"/>
      <c r="C89" s="2"/>
      <c r="D89" s="2"/>
      <c r="E89" s="2"/>
      <c r="F89" s="2"/>
      <c r="G89" s="2"/>
      <c r="H89" s="2"/>
      <c r="I89" s="3"/>
      <c r="J89" s="2"/>
      <c r="K89" s="2"/>
    </row>
    <row r="90" spans="1:11" ht="15" customHeight="1" x14ac:dyDescent="0.35">
      <c r="A90" s="2"/>
      <c r="B90" s="2"/>
      <c r="C90" s="2"/>
      <c r="D90" s="2"/>
      <c r="E90" s="2"/>
      <c r="F90" s="2"/>
      <c r="G90" s="2"/>
      <c r="H90" s="2"/>
      <c r="I90" s="3"/>
      <c r="J90" s="2"/>
      <c r="K90" s="2"/>
    </row>
    <row r="91" spans="1:11" ht="15" customHeight="1" x14ac:dyDescent="0.35">
      <c r="A91" s="2"/>
      <c r="B91" s="2"/>
      <c r="C91" s="2"/>
      <c r="D91" s="2"/>
      <c r="E91" s="2"/>
      <c r="F91" s="2"/>
      <c r="G91" s="2"/>
      <c r="H91" s="2"/>
      <c r="I91" s="3"/>
      <c r="J91" s="2"/>
      <c r="K91" s="2"/>
    </row>
    <row r="92" spans="1:11" ht="15" customHeight="1" x14ac:dyDescent="0.35">
      <c r="A92" s="2"/>
      <c r="B92" s="2"/>
      <c r="C92" s="2"/>
      <c r="D92" s="2"/>
      <c r="E92" s="2"/>
      <c r="F92" s="2"/>
      <c r="G92" s="2"/>
      <c r="H92" s="2"/>
      <c r="I92" s="3"/>
      <c r="J92" s="2"/>
      <c r="K92" s="2"/>
    </row>
    <row r="93" spans="1:11" ht="15" customHeight="1" x14ac:dyDescent="0.35">
      <c r="A93" s="2"/>
      <c r="B93" s="2"/>
      <c r="C93" s="2"/>
      <c r="D93" s="2"/>
      <c r="E93" s="2"/>
      <c r="F93" s="2"/>
      <c r="G93" s="2"/>
      <c r="H93" s="2"/>
      <c r="I93" s="3"/>
      <c r="J93" s="2"/>
      <c r="K93" s="2"/>
    </row>
    <row r="94" spans="1:11" ht="15" customHeight="1" x14ac:dyDescent="0.35">
      <c r="A94" s="2"/>
      <c r="B94" s="2"/>
      <c r="C94" s="2"/>
      <c r="D94" s="2"/>
      <c r="E94" s="2"/>
      <c r="F94" s="2"/>
      <c r="G94" s="2"/>
      <c r="H94" s="2"/>
      <c r="I94" s="3"/>
      <c r="J94" s="2"/>
      <c r="K94" s="2"/>
    </row>
    <row r="95" spans="1:11" ht="15" customHeight="1" x14ac:dyDescent="0.35">
      <c r="A95" s="2"/>
      <c r="B95" s="2"/>
      <c r="C95" s="2"/>
      <c r="D95" s="2"/>
      <c r="E95" s="2"/>
      <c r="F95" s="2"/>
      <c r="G95" s="2"/>
      <c r="H95" s="2"/>
      <c r="I95" s="3"/>
      <c r="J95" s="2"/>
      <c r="K95" s="2"/>
    </row>
    <row r="96" spans="1:11" ht="15" customHeight="1" x14ac:dyDescent="0.35">
      <c r="A96" s="2"/>
      <c r="B96" s="2"/>
      <c r="C96" s="2"/>
      <c r="D96" s="2"/>
      <c r="E96" s="2"/>
      <c r="F96" s="2"/>
      <c r="G96" s="2"/>
      <c r="H96" s="2"/>
      <c r="I96" s="3"/>
      <c r="J96" s="2"/>
      <c r="K96" s="2"/>
    </row>
    <row r="97" spans="1:11" ht="15" customHeight="1" x14ac:dyDescent="0.35">
      <c r="A97" s="2"/>
      <c r="B97" s="2"/>
      <c r="C97" s="2"/>
      <c r="D97" s="2"/>
      <c r="E97" s="2"/>
      <c r="F97" s="2"/>
      <c r="G97" s="2"/>
      <c r="H97" s="2"/>
      <c r="I97" s="3"/>
      <c r="J97" s="2"/>
      <c r="K97" s="2"/>
    </row>
    <row r="98" spans="1:11" ht="15" customHeight="1" x14ac:dyDescent="0.35">
      <c r="A98" s="2"/>
      <c r="B98" s="2"/>
      <c r="C98" s="2"/>
      <c r="D98" s="2"/>
      <c r="E98" s="2"/>
      <c r="F98" s="2"/>
      <c r="G98" s="2"/>
      <c r="H98" s="2"/>
      <c r="I98" s="3"/>
      <c r="J98" s="2"/>
      <c r="K98" s="2"/>
    </row>
    <row r="99" spans="1:11" ht="15" customHeight="1" x14ac:dyDescent="0.35">
      <c r="A99" s="2"/>
      <c r="B99" s="2"/>
      <c r="C99" s="2"/>
      <c r="D99" s="2"/>
      <c r="E99" s="2"/>
      <c r="F99" s="2"/>
      <c r="G99" s="2"/>
      <c r="H99" s="2"/>
      <c r="I99" s="3"/>
      <c r="J99" s="2"/>
      <c r="K99" s="2"/>
    </row>
    <row r="100" spans="1:11" ht="15" customHeight="1" x14ac:dyDescent="0.35">
      <c r="A100" s="2"/>
      <c r="B100" s="2"/>
      <c r="C100" s="2"/>
      <c r="D100" s="2"/>
      <c r="E100" s="2"/>
      <c r="F100" s="2"/>
      <c r="G100" s="2"/>
      <c r="H100" s="2"/>
      <c r="I100" s="3"/>
      <c r="J100" s="2"/>
      <c r="K100" s="2"/>
    </row>
    <row r="101" spans="1:11" ht="15" customHeight="1" x14ac:dyDescent="0.35">
      <c r="A101" s="2"/>
      <c r="B101" s="2"/>
      <c r="C101" s="2"/>
      <c r="D101" s="2"/>
      <c r="E101" s="2"/>
      <c r="F101" s="2"/>
      <c r="G101" s="2"/>
      <c r="H101" s="2"/>
      <c r="I101" s="3"/>
      <c r="J101" s="2"/>
      <c r="K101" s="2"/>
    </row>
    <row r="102" spans="1:11" ht="15" customHeight="1" x14ac:dyDescent="0.35">
      <c r="A102" s="2"/>
      <c r="B102" s="2"/>
      <c r="C102" s="2"/>
      <c r="D102" s="2"/>
      <c r="E102" s="2"/>
      <c r="F102" s="2"/>
      <c r="G102" s="2"/>
      <c r="H102" s="2"/>
      <c r="I102" s="3"/>
      <c r="J102" s="2"/>
      <c r="K102" s="2"/>
    </row>
    <row r="103" spans="1:11" ht="15" customHeight="1" x14ac:dyDescent="0.35">
      <c r="A103" s="2"/>
      <c r="B103" s="2"/>
      <c r="C103" s="2"/>
      <c r="D103" s="2"/>
      <c r="E103" s="2"/>
      <c r="F103" s="2"/>
      <c r="G103" s="2"/>
      <c r="H103" s="2"/>
      <c r="I103" s="3"/>
      <c r="J103" s="2"/>
      <c r="K103" s="2"/>
    </row>
    <row r="104" spans="1:11" ht="15" customHeight="1" x14ac:dyDescent="0.35">
      <c r="A104" s="2"/>
      <c r="B104" s="2"/>
      <c r="C104" s="2"/>
      <c r="D104" s="2"/>
      <c r="E104" s="2"/>
      <c r="F104" s="2"/>
      <c r="G104" s="2"/>
      <c r="H104" s="2"/>
      <c r="I104" s="3"/>
      <c r="J104" s="2"/>
      <c r="K104" s="2"/>
    </row>
    <row r="105" spans="1:11" ht="15" customHeight="1" x14ac:dyDescent="0.35">
      <c r="A105" s="2"/>
      <c r="B105" s="2"/>
      <c r="C105" s="2"/>
      <c r="D105" s="2"/>
      <c r="E105" s="2"/>
      <c r="F105" s="2"/>
      <c r="G105" s="2"/>
      <c r="H105" s="2"/>
      <c r="I105" s="3"/>
      <c r="J105" s="2"/>
      <c r="K105" s="2"/>
    </row>
    <row r="106" spans="1:11" ht="15" customHeight="1" x14ac:dyDescent="0.35">
      <c r="A106" s="2"/>
      <c r="B106" s="2"/>
      <c r="C106" s="2"/>
      <c r="D106" s="2"/>
      <c r="E106" s="2"/>
      <c r="F106" s="2"/>
      <c r="G106" s="2"/>
      <c r="H106" s="2"/>
      <c r="I106" s="3"/>
      <c r="J106" s="2"/>
      <c r="K106" s="2"/>
    </row>
    <row r="107" spans="1:11" ht="15" customHeight="1" x14ac:dyDescent="0.35">
      <c r="A107" s="2"/>
      <c r="B107" s="2"/>
      <c r="C107" s="2"/>
      <c r="D107" s="2"/>
      <c r="E107" s="2"/>
      <c r="F107" s="2"/>
      <c r="G107" s="2"/>
      <c r="H107" s="2"/>
      <c r="I107" s="3"/>
      <c r="J107" s="2"/>
      <c r="K107" s="2"/>
    </row>
    <row r="108" spans="1:11" ht="15" customHeight="1" x14ac:dyDescent="0.35">
      <c r="A108" s="2"/>
      <c r="B108" s="2"/>
      <c r="C108" s="2"/>
      <c r="D108" s="2"/>
      <c r="E108" s="2"/>
      <c r="F108" s="2"/>
      <c r="G108" s="2"/>
      <c r="H108" s="2"/>
      <c r="I108" s="3"/>
      <c r="J108" s="2"/>
      <c r="K108" s="2"/>
    </row>
    <row r="109" spans="1:11" ht="15" customHeight="1" x14ac:dyDescent="0.35">
      <c r="A109" s="2"/>
      <c r="B109" s="2"/>
      <c r="C109" s="2"/>
      <c r="D109" s="2"/>
      <c r="E109" s="2"/>
      <c r="F109" s="2"/>
      <c r="G109" s="2"/>
      <c r="H109" s="2"/>
      <c r="I109" s="3"/>
      <c r="J109" s="2"/>
      <c r="K109" s="2"/>
    </row>
    <row r="110" spans="1:11" ht="15" customHeight="1" x14ac:dyDescent="0.35">
      <c r="A110" s="2"/>
      <c r="B110" s="2"/>
      <c r="C110" s="2"/>
      <c r="D110" s="2"/>
      <c r="E110" s="2"/>
      <c r="F110" s="2"/>
      <c r="G110" s="2"/>
      <c r="H110" s="2"/>
      <c r="I110" s="3"/>
      <c r="J110" s="2"/>
      <c r="K110" s="2"/>
    </row>
    <row r="111" spans="1:11" ht="15" customHeight="1" x14ac:dyDescent="0.35">
      <c r="A111" s="2"/>
      <c r="B111" s="2"/>
      <c r="C111" s="2"/>
      <c r="D111" s="2"/>
      <c r="E111" s="2"/>
      <c r="F111" s="2"/>
      <c r="G111" s="2"/>
      <c r="H111" s="2"/>
      <c r="I111" s="3"/>
      <c r="J111" s="2"/>
      <c r="K111" s="2"/>
    </row>
    <row r="112" spans="1:11" ht="15" customHeight="1" x14ac:dyDescent="0.35">
      <c r="A112" s="2"/>
      <c r="B112" s="2"/>
      <c r="C112" s="2"/>
      <c r="D112" s="2"/>
      <c r="E112" s="2"/>
      <c r="F112" s="2"/>
      <c r="G112" s="2"/>
      <c r="H112" s="2"/>
      <c r="I112" s="3"/>
      <c r="J112" s="2"/>
      <c r="K112" s="2"/>
    </row>
    <row r="113" spans="1:11" ht="15" customHeight="1" x14ac:dyDescent="0.35">
      <c r="A113" s="2"/>
      <c r="B113" s="2"/>
      <c r="C113" s="2"/>
      <c r="D113" s="2"/>
      <c r="E113" s="2"/>
      <c r="F113" s="2"/>
      <c r="G113" s="2"/>
      <c r="H113" s="2"/>
      <c r="I113" s="3"/>
      <c r="J113" s="2"/>
      <c r="K113" s="2"/>
    </row>
    <row r="114" spans="1:11" ht="15" customHeight="1" x14ac:dyDescent="0.35">
      <c r="A114" s="2"/>
      <c r="B114" s="2"/>
      <c r="C114" s="2"/>
      <c r="D114" s="2"/>
      <c r="E114" s="2"/>
      <c r="F114" s="2"/>
      <c r="G114" s="2"/>
      <c r="H114" s="2"/>
      <c r="I114" s="3"/>
      <c r="J114" s="2"/>
      <c r="K114" s="2"/>
    </row>
    <row r="115" spans="1:11" ht="15" customHeight="1" x14ac:dyDescent="0.35">
      <c r="A115" s="2"/>
      <c r="B115" s="2"/>
      <c r="C115" s="2"/>
      <c r="D115" s="2"/>
      <c r="E115" s="2"/>
      <c r="F115" s="2"/>
      <c r="G115" s="2"/>
      <c r="H115" s="2"/>
      <c r="I115" s="3"/>
      <c r="J115" s="2"/>
      <c r="K115" s="2"/>
    </row>
    <row r="116" spans="1:11" ht="15" customHeight="1" x14ac:dyDescent="0.35">
      <c r="A116" s="2"/>
      <c r="B116" s="2"/>
      <c r="C116" s="2"/>
      <c r="D116" s="2"/>
      <c r="E116" s="2"/>
      <c r="F116" s="2"/>
      <c r="G116" s="2"/>
      <c r="H116" s="2"/>
      <c r="I116" s="3"/>
      <c r="J116" s="2"/>
      <c r="K116" s="2"/>
    </row>
    <row r="117" spans="1:11" ht="15" customHeight="1" x14ac:dyDescent="0.35">
      <c r="A117" s="2"/>
      <c r="B117" s="2"/>
      <c r="C117" s="2"/>
      <c r="D117" s="2"/>
      <c r="E117" s="2"/>
      <c r="F117" s="2"/>
      <c r="G117" s="2"/>
      <c r="H117" s="2"/>
      <c r="I117" s="3"/>
      <c r="J117" s="2"/>
      <c r="K117" s="2"/>
    </row>
    <row r="118" spans="1:11" ht="15" customHeight="1" x14ac:dyDescent="0.35">
      <c r="A118" s="2"/>
      <c r="B118" s="2"/>
      <c r="C118" s="2"/>
      <c r="D118" s="2"/>
      <c r="E118" s="2"/>
      <c r="F118" s="2"/>
      <c r="G118" s="2"/>
      <c r="H118" s="2"/>
      <c r="I118" s="3"/>
      <c r="J118" s="2"/>
      <c r="K118" s="2"/>
    </row>
    <row r="119" spans="1:11" ht="15" customHeight="1" x14ac:dyDescent="0.35">
      <c r="A119" s="2"/>
      <c r="B119" s="2"/>
      <c r="C119" s="2"/>
      <c r="D119" s="2"/>
      <c r="E119" s="2"/>
      <c r="F119" s="2"/>
      <c r="G119" s="2"/>
      <c r="H119" s="2"/>
      <c r="I119" s="3"/>
      <c r="J119" s="2"/>
      <c r="K119" s="2"/>
    </row>
    <row r="120" spans="1:11" ht="15" customHeight="1" x14ac:dyDescent="0.35">
      <c r="A120" s="2"/>
      <c r="B120" s="2"/>
      <c r="C120" s="2"/>
      <c r="D120" s="2"/>
      <c r="E120" s="2"/>
      <c r="F120" s="2"/>
      <c r="G120" s="2"/>
      <c r="H120" s="2"/>
      <c r="I120" s="3"/>
      <c r="J120" s="2"/>
      <c r="K120" s="2"/>
    </row>
    <row r="121" spans="1:11" ht="15" customHeight="1" x14ac:dyDescent="0.35">
      <c r="A121" s="2"/>
      <c r="B121" s="2"/>
      <c r="C121" s="2"/>
      <c r="D121" s="2"/>
      <c r="E121" s="2"/>
      <c r="F121" s="2"/>
      <c r="G121" s="2"/>
      <c r="H121" s="2"/>
      <c r="I121" s="3"/>
      <c r="J121" s="2"/>
      <c r="K121" s="2"/>
    </row>
    <row r="122" spans="1:11" ht="15" customHeight="1" x14ac:dyDescent="0.35">
      <c r="A122" s="2"/>
      <c r="B122" s="2"/>
      <c r="C122" s="2"/>
      <c r="D122" s="2"/>
      <c r="E122" s="2"/>
      <c r="F122" s="2"/>
      <c r="G122" s="2"/>
      <c r="H122" s="2"/>
      <c r="I122" s="3"/>
      <c r="J122" s="2"/>
      <c r="K122" s="2"/>
    </row>
    <row r="123" spans="1:11" ht="15" customHeight="1" x14ac:dyDescent="0.35">
      <c r="A123" s="2"/>
      <c r="B123" s="2"/>
      <c r="C123" s="2"/>
      <c r="D123" s="2"/>
      <c r="E123" s="2"/>
      <c r="F123" s="2"/>
      <c r="G123" s="2"/>
      <c r="H123" s="2"/>
      <c r="I123" s="3"/>
      <c r="J123" s="2"/>
      <c r="K123" s="2"/>
    </row>
    <row r="124" spans="1:11" ht="15" customHeight="1" x14ac:dyDescent="0.35">
      <c r="A124" s="2"/>
      <c r="B124" s="2"/>
      <c r="C124" s="2"/>
      <c r="D124" s="2"/>
      <c r="E124" s="2"/>
      <c r="F124" s="2"/>
      <c r="G124" s="2"/>
      <c r="H124" s="2"/>
      <c r="I124" s="3"/>
      <c r="J124" s="2"/>
      <c r="K124" s="2"/>
    </row>
    <row r="125" spans="1:11" ht="15" customHeight="1" x14ac:dyDescent="0.35">
      <c r="A125" s="2"/>
      <c r="B125" s="2"/>
      <c r="C125" s="2"/>
      <c r="D125" s="2"/>
      <c r="E125" s="2"/>
      <c r="F125" s="2"/>
      <c r="G125" s="2"/>
      <c r="H125" s="2"/>
      <c r="I125" s="3"/>
      <c r="J125" s="2"/>
      <c r="K125" s="2"/>
    </row>
    <row r="126" spans="1:11" ht="15" customHeight="1" x14ac:dyDescent="0.35">
      <c r="A126" s="2"/>
      <c r="B126" s="2"/>
      <c r="C126" s="2"/>
      <c r="D126" s="2"/>
      <c r="E126" s="2"/>
      <c r="F126" s="2"/>
      <c r="G126" s="2"/>
      <c r="H126" s="2"/>
      <c r="I126" s="3"/>
      <c r="J126" s="2"/>
      <c r="K126" s="2"/>
    </row>
    <row r="127" spans="1:11" ht="15" customHeight="1" x14ac:dyDescent="0.35">
      <c r="A127" s="2"/>
      <c r="B127" s="2"/>
      <c r="C127" s="30"/>
      <c r="D127" s="4"/>
      <c r="E127" s="2"/>
      <c r="F127" s="2"/>
      <c r="G127" s="2"/>
      <c r="H127" s="2"/>
      <c r="I127" s="3"/>
      <c r="J127" s="2"/>
      <c r="K127" s="2"/>
    </row>
    <row r="128" spans="1:11" ht="15" customHeight="1" x14ac:dyDescent="0.35">
      <c r="A128" s="2"/>
      <c r="B128" s="2"/>
      <c r="C128" s="25"/>
      <c r="D128" s="26"/>
      <c r="E128" s="27"/>
      <c r="F128" s="28"/>
      <c r="G128" s="2"/>
      <c r="H128" s="2"/>
      <c r="I128" s="3"/>
      <c r="J128" s="2"/>
      <c r="K128" s="2"/>
    </row>
    <row r="129" spans="1:11" ht="15" customHeight="1" x14ac:dyDescent="0.35">
      <c r="A129" s="2"/>
      <c r="B129" s="2"/>
      <c r="C129" s="30" t="s">
        <v>14</v>
      </c>
      <c r="D129" s="31" t="str">
        <f>IF(E5="","",E5)</f>
        <v/>
      </c>
      <c r="E129" s="27"/>
      <c r="F129" s="28"/>
      <c r="G129" s="2"/>
      <c r="H129" s="14" t="s">
        <v>2</v>
      </c>
      <c r="I129" s="194" t="s">
        <v>15</v>
      </c>
      <c r="J129" s="2"/>
      <c r="K129" s="2"/>
    </row>
    <row r="130" spans="1:11" ht="15" customHeight="1" x14ac:dyDescent="0.35">
      <c r="A130" s="2"/>
      <c r="B130" s="2"/>
      <c r="C130" s="30" t="s">
        <v>5</v>
      </c>
      <c r="D130" s="32" t="str">
        <f>IF(E7="","",E7)</f>
        <v/>
      </c>
      <c r="E130" s="27"/>
      <c r="F130" s="28"/>
      <c r="G130" s="2"/>
      <c r="H130" s="14"/>
      <c r="I130" s="194"/>
      <c r="J130" s="2"/>
      <c r="K130" s="2"/>
    </row>
    <row r="131" spans="1:11" ht="15" customHeight="1" x14ac:dyDescent="0.35">
      <c r="A131" s="2"/>
      <c r="B131" s="2"/>
      <c r="C131" s="25"/>
      <c r="D131" s="26"/>
      <c r="E131" s="27"/>
      <c r="F131" s="28"/>
      <c r="G131" s="2"/>
      <c r="H131" s="2"/>
      <c r="I131" s="194"/>
      <c r="J131" s="2"/>
      <c r="K131" s="2"/>
    </row>
    <row r="132" spans="1:11" ht="15" customHeight="1" thickBot="1" x14ac:dyDescent="0.4">
      <c r="A132" s="2"/>
      <c r="B132" s="2"/>
      <c r="C132" s="25"/>
      <c r="D132" s="26"/>
      <c r="E132" s="27"/>
      <c r="F132" s="28"/>
      <c r="G132" s="2"/>
      <c r="H132" s="2"/>
      <c r="I132" s="3"/>
      <c r="J132" s="2"/>
      <c r="K132" s="2"/>
    </row>
    <row r="133" spans="1:11" ht="18" customHeight="1" thickBot="1" x14ac:dyDescent="0.4">
      <c r="A133" s="2"/>
      <c r="B133" s="195" t="s">
        <v>16</v>
      </c>
      <c r="C133" s="196"/>
      <c r="D133" s="196"/>
      <c r="E133" s="196"/>
      <c r="F133" s="197"/>
      <c r="G133" s="2"/>
      <c r="H133" s="2"/>
      <c r="I133" s="2"/>
      <c r="J133" s="2"/>
      <c r="K133" s="2"/>
    </row>
    <row r="134" spans="1:11" ht="13.5" thickBot="1" x14ac:dyDescent="0.4">
      <c r="A134" s="2"/>
      <c r="B134" s="33" t="s">
        <v>17</v>
      </c>
      <c r="C134" s="34" t="s">
        <v>18</v>
      </c>
      <c r="D134" s="35" t="s">
        <v>19</v>
      </c>
      <c r="E134" s="35" t="s">
        <v>20</v>
      </c>
      <c r="F134" s="36" t="s">
        <v>21</v>
      </c>
      <c r="G134" s="2"/>
      <c r="H134" s="2"/>
      <c r="I134" s="2"/>
      <c r="J134" s="2"/>
      <c r="K134" s="2"/>
    </row>
    <row r="135" spans="1:11" x14ac:dyDescent="0.35">
      <c r="A135" s="2"/>
      <c r="B135" s="37"/>
      <c r="C135" s="38"/>
      <c r="D135" s="39"/>
      <c r="E135" s="39"/>
      <c r="F135" s="39"/>
      <c r="G135" s="2"/>
      <c r="H135" s="2"/>
      <c r="I135" s="2"/>
      <c r="J135" s="2"/>
      <c r="K135" s="2"/>
    </row>
    <row r="136" spans="1:11" ht="22.15" x14ac:dyDescent="0.35">
      <c r="A136" s="2"/>
      <c r="B136" s="65"/>
      <c r="C136" s="68"/>
      <c r="D136" s="177"/>
      <c r="E136" s="178"/>
      <c r="F136" s="179">
        <f>D136*E136</f>
        <v>0</v>
      </c>
      <c r="G136" s="2"/>
      <c r="H136" s="14" t="s">
        <v>2</v>
      </c>
      <c r="I136" s="191" t="s">
        <v>22</v>
      </c>
      <c r="J136" s="2"/>
      <c r="K136" s="2"/>
    </row>
    <row r="137" spans="1:11" x14ac:dyDescent="0.35">
      <c r="A137" s="2"/>
      <c r="B137" s="64"/>
      <c r="C137" s="68"/>
      <c r="D137" s="177"/>
      <c r="E137" s="178"/>
      <c r="F137" s="179">
        <f t="shared" ref="F137:F187" si="1">D137*E137</f>
        <v>0</v>
      </c>
      <c r="G137" s="2"/>
      <c r="H137" s="2"/>
      <c r="I137" s="191"/>
      <c r="J137" s="2"/>
      <c r="K137" s="2"/>
    </row>
    <row r="138" spans="1:11" x14ac:dyDescent="0.35">
      <c r="A138" s="2"/>
      <c r="B138" s="64"/>
      <c r="C138" s="68"/>
      <c r="D138" s="177"/>
      <c r="E138" s="178"/>
      <c r="F138" s="179">
        <f t="shared" si="1"/>
        <v>0</v>
      </c>
      <c r="G138" s="2"/>
      <c r="H138" s="2"/>
      <c r="I138" s="191"/>
      <c r="J138" s="2"/>
      <c r="K138" s="2"/>
    </row>
    <row r="139" spans="1:11" x14ac:dyDescent="0.35">
      <c r="A139" s="2"/>
      <c r="B139" s="64"/>
      <c r="C139" s="68"/>
      <c r="D139" s="177"/>
      <c r="E139" s="178"/>
      <c r="F139" s="179">
        <f t="shared" si="1"/>
        <v>0</v>
      </c>
      <c r="G139" s="2"/>
      <c r="H139" s="2"/>
      <c r="I139" s="191"/>
      <c r="J139" s="2"/>
      <c r="K139" s="2"/>
    </row>
    <row r="140" spans="1:11" x14ac:dyDescent="0.35">
      <c r="A140" s="2"/>
      <c r="B140" s="64"/>
      <c r="C140" s="68"/>
      <c r="D140" s="177"/>
      <c r="E140" s="178"/>
      <c r="F140" s="179">
        <f t="shared" si="1"/>
        <v>0</v>
      </c>
      <c r="G140" s="2"/>
      <c r="H140" s="2"/>
      <c r="I140" s="40" t="s">
        <v>23</v>
      </c>
      <c r="J140" s="2"/>
      <c r="K140" s="2"/>
    </row>
    <row r="141" spans="1:11" x14ac:dyDescent="0.35">
      <c r="A141" s="2"/>
      <c r="B141" s="64"/>
      <c r="C141" s="68"/>
      <c r="D141" s="177"/>
      <c r="E141" s="178"/>
      <c r="F141" s="179">
        <f t="shared" si="1"/>
        <v>0</v>
      </c>
      <c r="G141" s="2"/>
      <c r="H141" s="2"/>
      <c r="I141" s="192" t="s">
        <v>24</v>
      </c>
      <c r="J141" s="2"/>
      <c r="K141" s="2"/>
    </row>
    <row r="142" spans="1:11" x14ac:dyDescent="0.35">
      <c r="A142" s="2"/>
      <c r="B142" s="64"/>
      <c r="C142" s="68"/>
      <c r="D142" s="177"/>
      <c r="E142" s="178"/>
      <c r="F142" s="179">
        <f t="shared" si="1"/>
        <v>0</v>
      </c>
      <c r="G142" s="2"/>
      <c r="H142" s="2"/>
      <c r="I142" s="193"/>
      <c r="J142" s="2"/>
      <c r="K142" s="2"/>
    </row>
    <row r="143" spans="1:11" x14ac:dyDescent="0.35">
      <c r="A143" s="2"/>
      <c r="B143" s="64"/>
      <c r="C143" s="69"/>
      <c r="D143" s="177"/>
      <c r="E143" s="178"/>
      <c r="F143" s="179">
        <f t="shared" si="1"/>
        <v>0</v>
      </c>
      <c r="G143" s="2"/>
      <c r="H143" s="2"/>
      <c r="I143" s="193"/>
      <c r="J143" s="2"/>
      <c r="K143" s="2"/>
    </row>
    <row r="144" spans="1:11" x14ac:dyDescent="0.35">
      <c r="A144" s="2"/>
      <c r="B144" s="64"/>
      <c r="C144" s="69"/>
      <c r="D144" s="177"/>
      <c r="E144" s="178"/>
      <c r="F144" s="179">
        <f t="shared" si="1"/>
        <v>0</v>
      </c>
      <c r="G144" s="2"/>
      <c r="H144" s="2"/>
      <c r="I144" s="192" t="s">
        <v>25</v>
      </c>
      <c r="J144" s="2"/>
      <c r="K144" s="2"/>
    </row>
    <row r="145" spans="1:11" x14ac:dyDescent="0.35">
      <c r="A145" s="2"/>
      <c r="B145" s="64"/>
      <c r="C145" s="68"/>
      <c r="D145" s="177"/>
      <c r="E145" s="178"/>
      <c r="F145" s="179">
        <f t="shared" si="1"/>
        <v>0</v>
      </c>
      <c r="G145" s="2"/>
      <c r="H145" s="2"/>
      <c r="I145" s="193"/>
      <c r="J145" s="2"/>
      <c r="K145" s="2"/>
    </row>
    <row r="146" spans="1:11" x14ac:dyDescent="0.35">
      <c r="A146" s="2"/>
      <c r="B146" s="64"/>
      <c r="C146" s="69"/>
      <c r="D146" s="177"/>
      <c r="E146" s="178"/>
      <c r="F146" s="179">
        <f t="shared" si="1"/>
        <v>0</v>
      </c>
      <c r="G146" s="2"/>
      <c r="H146" s="2"/>
      <c r="I146" s="193"/>
      <c r="J146" s="2"/>
      <c r="K146" s="2"/>
    </row>
    <row r="147" spans="1:11" x14ac:dyDescent="0.35">
      <c r="A147" s="2"/>
      <c r="B147" s="65"/>
      <c r="C147" s="68"/>
      <c r="D147" s="177"/>
      <c r="E147" s="178"/>
      <c r="F147" s="179">
        <f t="shared" si="1"/>
        <v>0</v>
      </c>
      <c r="G147" s="2"/>
      <c r="H147" s="2"/>
      <c r="I147" s="193"/>
      <c r="J147" s="2"/>
      <c r="K147" s="2"/>
    </row>
    <row r="148" spans="1:11" x14ac:dyDescent="0.35">
      <c r="A148" s="2"/>
      <c r="B148" s="64"/>
      <c r="C148" s="69"/>
      <c r="D148" s="177"/>
      <c r="E148" s="178"/>
      <c r="F148" s="179">
        <f t="shared" si="1"/>
        <v>0</v>
      </c>
      <c r="G148" s="2"/>
      <c r="H148" s="2"/>
      <c r="I148" s="193" t="s">
        <v>26</v>
      </c>
      <c r="J148" s="2"/>
      <c r="K148" s="2"/>
    </row>
    <row r="149" spans="1:11" x14ac:dyDescent="0.35">
      <c r="A149" s="2"/>
      <c r="B149" s="64"/>
      <c r="C149" s="68"/>
      <c r="D149" s="177"/>
      <c r="E149" s="178"/>
      <c r="F149" s="179">
        <f t="shared" si="1"/>
        <v>0</v>
      </c>
      <c r="G149" s="2"/>
      <c r="H149" s="2"/>
      <c r="I149" s="193"/>
      <c r="J149" s="2"/>
      <c r="K149" s="2"/>
    </row>
    <row r="150" spans="1:11" x14ac:dyDescent="0.35">
      <c r="A150" s="2"/>
      <c r="B150" s="64"/>
      <c r="C150" s="69"/>
      <c r="D150" s="177"/>
      <c r="E150" s="178"/>
      <c r="F150" s="179">
        <f t="shared" si="1"/>
        <v>0</v>
      </c>
      <c r="G150" s="2"/>
      <c r="H150" s="2"/>
      <c r="I150" s="193"/>
      <c r="J150" s="2"/>
      <c r="K150" s="2"/>
    </row>
    <row r="151" spans="1:11" x14ac:dyDescent="0.35">
      <c r="A151" s="2"/>
      <c r="B151" s="64"/>
      <c r="C151" s="69"/>
      <c r="D151" s="177"/>
      <c r="E151" s="178"/>
      <c r="F151" s="179">
        <f t="shared" si="1"/>
        <v>0</v>
      </c>
      <c r="G151" s="2"/>
      <c r="H151" s="2"/>
      <c r="I151" s="193"/>
      <c r="J151" s="2"/>
      <c r="K151" s="2"/>
    </row>
    <row r="152" spans="1:11" x14ac:dyDescent="0.35">
      <c r="A152" s="2"/>
      <c r="B152" s="64"/>
      <c r="C152" s="69"/>
      <c r="D152" s="177"/>
      <c r="E152" s="178"/>
      <c r="F152" s="179">
        <f t="shared" si="1"/>
        <v>0</v>
      </c>
      <c r="G152" s="2"/>
      <c r="H152" s="2"/>
      <c r="I152" s="193" t="s">
        <v>27</v>
      </c>
      <c r="J152" s="2"/>
      <c r="K152" s="2"/>
    </row>
    <row r="153" spans="1:11" x14ac:dyDescent="0.35">
      <c r="A153" s="2"/>
      <c r="B153" s="64"/>
      <c r="C153" s="69"/>
      <c r="D153" s="177"/>
      <c r="E153" s="178"/>
      <c r="F153" s="179">
        <f t="shared" si="1"/>
        <v>0</v>
      </c>
      <c r="G153" s="2"/>
      <c r="H153" s="2"/>
      <c r="I153" s="193"/>
      <c r="J153" s="2"/>
      <c r="K153" s="2"/>
    </row>
    <row r="154" spans="1:11" x14ac:dyDescent="0.35">
      <c r="A154" s="2"/>
      <c r="B154" s="64"/>
      <c r="C154" s="69"/>
      <c r="D154" s="177"/>
      <c r="E154" s="178"/>
      <c r="F154" s="179">
        <f t="shared" si="1"/>
        <v>0</v>
      </c>
      <c r="G154" s="2"/>
      <c r="H154" s="2"/>
      <c r="I154" s="198" t="s">
        <v>28</v>
      </c>
      <c r="J154" s="2"/>
      <c r="K154" s="2"/>
    </row>
    <row r="155" spans="1:11" x14ac:dyDescent="0.35">
      <c r="A155" s="2"/>
      <c r="B155" s="64"/>
      <c r="C155" s="68"/>
      <c r="D155" s="177"/>
      <c r="E155" s="178"/>
      <c r="F155" s="179">
        <f t="shared" si="1"/>
        <v>0</v>
      </c>
      <c r="G155" s="2"/>
      <c r="H155" s="2"/>
      <c r="I155" s="198"/>
      <c r="J155" s="2"/>
      <c r="K155" s="2"/>
    </row>
    <row r="156" spans="1:11" x14ac:dyDescent="0.35">
      <c r="A156" s="2"/>
      <c r="B156" s="64"/>
      <c r="C156" s="68"/>
      <c r="D156" s="177"/>
      <c r="E156" s="178"/>
      <c r="F156" s="179">
        <f t="shared" si="1"/>
        <v>0</v>
      </c>
      <c r="G156" s="2"/>
      <c r="H156" s="2"/>
      <c r="I156" s="41"/>
      <c r="J156" s="2"/>
      <c r="K156" s="2"/>
    </row>
    <row r="157" spans="1:11" x14ac:dyDescent="0.35">
      <c r="A157" s="2"/>
      <c r="B157" s="64"/>
      <c r="C157" s="68"/>
      <c r="D157" s="177"/>
      <c r="E157" s="178"/>
      <c r="F157" s="179">
        <f t="shared" si="1"/>
        <v>0</v>
      </c>
      <c r="G157" s="2"/>
      <c r="H157" s="2"/>
      <c r="I157" s="41"/>
      <c r="J157" s="2"/>
      <c r="K157" s="2"/>
    </row>
    <row r="158" spans="1:11" x14ac:dyDescent="0.35">
      <c r="A158" s="2"/>
      <c r="B158" s="64"/>
      <c r="C158" s="68"/>
      <c r="D158" s="177"/>
      <c r="E158" s="178"/>
      <c r="F158" s="179">
        <f t="shared" si="1"/>
        <v>0</v>
      </c>
      <c r="G158" s="2"/>
      <c r="H158" s="2"/>
      <c r="I158" s="41"/>
      <c r="J158" s="2"/>
      <c r="K158" s="2"/>
    </row>
    <row r="159" spans="1:11" x14ac:dyDescent="0.35">
      <c r="A159" s="2"/>
      <c r="B159" s="64"/>
      <c r="C159" s="68"/>
      <c r="D159" s="177"/>
      <c r="E159" s="178"/>
      <c r="F159" s="179">
        <f t="shared" si="1"/>
        <v>0</v>
      </c>
      <c r="G159" s="2"/>
      <c r="H159" s="2"/>
      <c r="I159" s="41"/>
      <c r="J159" s="2"/>
      <c r="K159" s="2"/>
    </row>
    <row r="160" spans="1:11" x14ac:dyDescent="0.35">
      <c r="A160" s="2"/>
      <c r="B160" s="64"/>
      <c r="C160" s="68"/>
      <c r="D160" s="177"/>
      <c r="E160" s="178"/>
      <c r="F160" s="179">
        <f t="shared" si="1"/>
        <v>0</v>
      </c>
      <c r="G160" s="2"/>
      <c r="H160" s="2"/>
      <c r="I160" s="41"/>
      <c r="J160" s="2"/>
      <c r="K160" s="2"/>
    </row>
    <row r="161" spans="1:11" x14ac:dyDescent="0.35">
      <c r="A161" s="2"/>
      <c r="B161" s="64"/>
      <c r="C161" s="68"/>
      <c r="D161" s="177"/>
      <c r="E161" s="178"/>
      <c r="F161" s="179">
        <f t="shared" ref="F161" si="2">D161*E161</f>
        <v>0</v>
      </c>
      <c r="G161" s="2"/>
      <c r="H161" s="2"/>
      <c r="I161" s="41"/>
      <c r="J161" s="2"/>
      <c r="K161" s="2"/>
    </row>
    <row r="162" spans="1:11" x14ac:dyDescent="0.35">
      <c r="A162" s="2"/>
      <c r="B162" s="64"/>
      <c r="C162" s="68"/>
      <c r="D162" s="177"/>
      <c r="E162" s="178"/>
      <c r="F162" s="179">
        <f t="shared" si="1"/>
        <v>0</v>
      </c>
      <c r="G162" s="2"/>
      <c r="H162" s="2"/>
      <c r="I162" s="41"/>
      <c r="J162" s="2"/>
      <c r="K162" s="2"/>
    </row>
    <row r="163" spans="1:11" x14ac:dyDescent="0.35">
      <c r="A163" s="2"/>
      <c r="B163" s="64"/>
      <c r="C163" s="68"/>
      <c r="D163" s="177"/>
      <c r="E163" s="178"/>
      <c r="F163" s="179">
        <f t="shared" si="1"/>
        <v>0</v>
      </c>
      <c r="G163" s="2"/>
      <c r="H163" s="2"/>
      <c r="I163" s="41"/>
      <c r="J163" s="2"/>
      <c r="K163" s="2"/>
    </row>
    <row r="164" spans="1:11" x14ac:dyDescent="0.35">
      <c r="A164" s="2"/>
      <c r="B164" s="64"/>
      <c r="C164" s="68"/>
      <c r="D164" s="177"/>
      <c r="E164" s="178"/>
      <c r="F164" s="179">
        <f t="shared" si="1"/>
        <v>0</v>
      </c>
      <c r="G164" s="2"/>
      <c r="H164" s="2"/>
      <c r="I164" s="41"/>
      <c r="J164" s="2"/>
      <c r="K164" s="2"/>
    </row>
    <row r="165" spans="1:11" x14ac:dyDescent="0.35">
      <c r="A165" s="2"/>
      <c r="B165" s="64"/>
      <c r="C165" s="68"/>
      <c r="D165" s="177"/>
      <c r="E165" s="178"/>
      <c r="F165" s="179">
        <f t="shared" si="1"/>
        <v>0</v>
      </c>
      <c r="G165" s="2"/>
      <c r="H165" s="2"/>
      <c r="I165" s="41"/>
      <c r="J165" s="2"/>
      <c r="K165" s="2"/>
    </row>
    <row r="166" spans="1:11" x14ac:dyDescent="0.35">
      <c r="A166" s="2"/>
      <c r="B166" s="64"/>
      <c r="C166" s="68"/>
      <c r="D166" s="177"/>
      <c r="E166" s="178"/>
      <c r="F166" s="179">
        <f t="shared" si="1"/>
        <v>0</v>
      </c>
      <c r="G166" s="2"/>
      <c r="H166" s="2"/>
      <c r="I166" s="41"/>
      <c r="J166" s="2"/>
      <c r="K166" s="2"/>
    </row>
    <row r="167" spans="1:11" x14ac:dyDescent="0.35">
      <c r="A167" s="2"/>
      <c r="B167" s="64"/>
      <c r="C167" s="68"/>
      <c r="D167" s="177"/>
      <c r="E167" s="178"/>
      <c r="F167" s="179">
        <f t="shared" si="1"/>
        <v>0</v>
      </c>
      <c r="G167" s="2"/>
      <c r="H167" s="2"/>
      <c r="I167" s="41"/>
      <c r="J167" s="2"/>
      <c r="K167" s="2"/>
    </row>
    <row r="168" spans="1:11" x14ac:dyDescent="0.35">
      <c r="A168" s="2"/>
      <c r="B168" s="64"/>
      <c r="C168" s="68"/>
      <c r="D168" s="177"/>
      <c r="E168" s="178"/>
      <c r="F168" s="179">
        <f t="shared" si="1"/>
        <v>0</v>
      </c>
      <c r="G168" s="2"/>
      <c r="H168" s="2"/>
      <c r="I168" s="41"/>
      <c r="J168" s="2"/>
      <c r="K168" s="2"/>
    </row>
    <row r="169" spans="1:11" x14ac:dyDescent="0.35">
      <c r="A169" s="2"/>
      <c r="B169" s="64"/>
      <c r="C169" s="68"/>
      <c r="D169" s="177"/>
      <c r="E169" s="178"/>
      <c r="F169" s="179">
        <f t="shared" si="1"/>
        <v>0</v>
      </c>
      <c r="G169" s="2"/>
      <c r="H169" s="2"/>
      <c r="I169" s="41"/>
      <c r="J169" s="2"/>
      <c r="K169" s="2"/>
    </row>
    <row r="170" spans="1:11" x14ac:dyDescent="0.35">
      <c r="A170" s="2"/>
      <c r="B170" s="64"/>
      <c r="C170" s="68"/>
      <c r="D170" s="177"/>
      <c r="E170" s="178"/>
      <c r="F170" s="179">
        <f t="shared" si="1"/>
        <v>0</v>
      </c>
      <c r="G170" s="2"/>
      <c r="H170" s="2"/>
      <c r="I170" s="41"/>
      <c r="J170" s="2"/>
      <c r="K170" s="2"/>
    </row>
    <row r="171" spans="1:11" x14ac:dyDescent="0.35">
      <c r="A171" s="2"/>
      <c r="B171" s="64"/>
      <c r="C171" s="68"/>
      <c r="D171" s="177"/>
      <c r="E171" s="178"/>
      <c r="F171" s="179">
        <f t="shared" si="1"/>
        <v>0</v>
      </c>
      <c r="G171" s="2"/>
      <c r="H171" s="2"/>
      <c r="I171" s="41"/>
      <c r="J171" s="2"/>
      <c r="K171" s="2"/>
    </row>
    <row r="172" spans="1:11" x14ac:dyDescent="0.35">
      <c r="A172" s="2"/>
      <c r="B172" s="64"/>
      <c r="C172" s="68"/>
      <c r="D172" s="177"/>
      <c r="E172" s="178"/>
      <c r="F172" s="179">
        <f t="shared" si="1"/>
        <v>0</v>
      </c>
      <c r="G172" s="2"/>
      <c r="H172" s="2"/>
      <c r="I172" s="41"/>
      <c r="J172" s="2"/>
      <c r="K172" s="2"/>
    </row>
    <row r="173" spans="1:11" x14ac:dyDescent="0.35">
      <c r="A173" s="2"/>
      <c r="B173" s="64"/>
      <c r="C173" s="68"/>
      <c r="D173" s="177"/>
      <c r="E173" s="178"/>
      <c r="F173" s="179">
        <f t="shared" si="1"/>
        <v>0</v>
      </c>
      <c r="G173" s="2"/>
      <c r="H173" s="2"/>
      <c r="I173" s="41"/>
      <c r="J173" s="2"/>
      <c r="K173" s="2"/>
    </row>
    <row r="174" spans="1:11" x14ac:dyDescent="0.35">
      <c r="A174" s="2"/>
      <c r="B174" s="64"/>
      <c r="C174" s="68"/>
      <c r="D174" s="177"/>
      <c r="E174" s="178"/>
      <c r="F174" s="179">
        <f t="shared" si="1"/>
        <v>0</v>
      </c>
      <c r="G174" s="2"/>
      <c r="H174" s="2"/>
      <c r="I174" s="41"/>
      <c r="J174" s="2"/>
      <c r="K174" s="2"/>
    </row>
    <row r="175" spans="1:11" x14ac:dyDescent="0.35">
      <c r="A175" s="2"/>
      <c r="B175" s="64"/>
      <c r="C175" s="68"/>
      <c r="D175" s="177"/>
      <c r="E175" s="178"/>
      <c r="F175" s="179">
        <f t="shared" si="1"/>
        <v>0</v>
      </c>
      <c r="G175" s="2"/>
      <c r="H175" s="2"/>
      <c r="I175" s="41"/>
      <c r="J175" s="2"/>
      <c r="K175" s="2"/>
    </row>
    <row r="176" spans="1:11" x14ac:dyDescent="0.35">
      <c r="A176" s="2"/>
      <c r="B176" s="64"/>
      <c r="C176" s="68"/>
      <c r="D176" s="177"/>
      <c r="E176" s="178"/>
      <c r="F176" s="179">
        <f t="shared" si="1"/>
        <v>0</v>
      </c>
      <c r="G176" s="2"/>
      <c r="H176" s="2"/>
      <c r="I176" s="41"/>
      <c r="J176" s="2"/>
      <c r="K176" s="2"/>
    </row>
    <row r="177" spans="1:11" x14ac:dyDescent="0.35">
      <c r="A177" s="2"/>
      <c r="B177" s="64"/>
      <c r="C177" s="68"/>
      <c r="D177" s="177"/>
      <c r="E177" s="178"/>
      <c r="F177" s="179">
        <f t="shared" si="1"/>
        <v>0</v>
      </c>
      <c r="G177" s="2"/>
      <c r="H177" s="2"/>
      <c r="I177" s="41"/>
      <c r="J177" s="2"/>
      <c r="K177" s="2"/>
    </row>
    <row r="178" spans="1:11" x14ac:dyDescent="0.35">
      <c r="A178" s="2"/>
      <c r="B178" s="64"/>
      <c r="C178" s="68"/>
      <c r="D178" s="177"/>
      <c r="E178" s="178"/>
      <c r="F178" s="179">
        <f t="shared" ref="F178" si="3">D178*E178</f>
        <v>0</v>
      </c>
      <c r="G178" s="2"/>
      <c r="H178" s="2"/>
      <c r="I178" s="41"/>
      <c r="J178" s="2"/>
      <c r="K178" s="2"/>
    </row>
    <row r="179" spans="1:11" x14ac:dyDescent="0.35">
      <c r="A179" s="2"/>
      <c r="B179" s="64"/>
      <c r="C179" s="68"/>
      <c r="D179" s="177"/>
      <c r="E179" s="178"/>
      <c r="F179" s="179">
        <f t="shared" si="1"/>
        <v>0</v>
      </c>
      <c r="G179" s="2"/>
      <c r="H179" s="2"/>
      <c r="I179" s="41"/>
      <c r="J179" s="2"/>
      <c r="K179" s="2"/>
    </row>
    <row r="180" spans="1:11" x14ac:dyDescent="0.35">
      <c r="A180" s="2"/>
      <c r="B180" s="64"/>
      <c r="C180" s="68"/>
      <c r="D180" s="177"/>
      <c r="E180" s="178"/>
      <c r="F180" s="179">
        <f t="shared" si="1"/>
        <v>0</v>
      </c>
      <c r="G180" s="2"/>
      <c r="H180" s="2"/>
      <c r="I180" s="41"/>
      <c r="J180" s="2"/>
      <c r="K180" s="2"/>
    </row>
    <row r="181" spans="1:11" x14ac:dyDescent="0.35">
      <c r="A181" s="2"/>
      <c r="B181" s="64"/>
      <c r="C181" s="68"/>
      <c r="D181" s="177"/>
      <c r="E181" s="178"/>
      <c r="F181" s="179">
        <f t="shared" si="1"/>
        <v>0</v>
      </c>
      <c r="G181" s="2"/>
      <c r="H181" s="2"/>
      <c r="I181" s="41"/>
      <c r="J181" s="2"/>
      <c r="K181" s="2"/>
    </row>
    <row r="182" spans="1:11" x14ac:dyDescent="0.35">
      <c r="A182" s="2"/>
      <c r="B182" s="64"/>
      <c r="C182" s="68"/>
      <c r="D182" s="177"/>
      <c r="E182" s="178"/>
      <c r="F182" s="179">
        <f t="shared" si="1"/>
        <v>0</v>
      </c>
      <c r="G182" s="2"/>
      <c r="H182" s="2"/>
      <c r="I182" s="41"/>
      <c r="J182" s="2"/>
      <c r="K182" s="2"/>
    </row>
    <row r="183" spans="1:11" x14ac:dyDescent="0.35">
      <c r="A183" s="2"/>
      <c r="B183" s="64"/>
      <c r="C183" s="68"/>
      <c r="D183" s="177"/>
      <c r="E183" s="178"/>
      <c r="F183" s="179">
        <f t="shared" si="1"/>
        <v>0</v>
      </c>
      <c r="G183" s="2"/>
      <c r="H183" s="2"/>
      <c r="I183" s="41"/>
      <c r="J183" s="2"/>
      <c r="K183" s="2"/>
    </row>
    <row r="184" spans="1:11" x14ac:dyDescent="0.35">
      <c r="A184" s="2"/>
      <c r="B184" s="64"/>
      <c r="C184" s="68"/>
      <c r="D184" s="177"/>
      <c r="E184" s="178"/>
      <c r="F184" s="179">
        <f t="shared" si="1"/>
        <v>0</v>
      </c>
      <c r="G184" s="2"/>
      <c r="H184" s="2"/>
      <c r="I184" s="41"/>
      <c r="J184" s="2"/>
      <c r="K184" s="2"/>
    </row>
    <row r="185" spans="1:11" x14ac:dyDescent="0.35">
      <c r="A185" s="2"/>
      <c r="B185" s="64"/>
      <c r="C185" s="68"/>
      <c r="D185" s="177"/>
      <c r="E185" s="178"/>
      <c r="F185" s="179">
        <f t="shared" si="1"/>
        <v>0</v>
      </c>
      <c r="G185" s="2"/>
      <c r="H185" s="2"/>
      <c r="I185" s="41"/>
      <c r="J185" s="2"/>
      <c r="K185" s="2"/>
    </row>
    <row r="186" spans="1:11" x14ac:dyDescent="0.35">
      <c r="A186" s="2"/>
      <c r="B186" s="64"/>
      <c r="C186" s="68"/>
      <c r="D186" s="177"/>
      <c r="E186" s="178"/>
      <c r="F186" s="179">
        <f t="shared" ref="F186" si="4">D186*E186</f>
        <v>0</v>
      </c>
      <c r="G186" s="2"/>
      <c r="H186" s="2"/>
      <c r="I186" s="41"/>
      <c r="J186" s="2"/>
      <c r="K186" s="2"/>
    </row>
    <row r="187" spans="1:11" x14ac:dyDescent="0.35">
      <c r="A187" s="2"/>
      <c r="B187" s="64"/>
      <c r="C187" s="68"/>
      <c r="D187" s="177"/>
      <c r="E187" s="178"/>
      <c r="F187" s="179">
        <f t="shared" si="1"/>
        <v>0</v>
      </c>
      <c r="G187" s="2"/>
      <c r="H187" s="2"/>
      <c r="I187" s="41"/>
      <c r="J187" s="2"/>
      <c r="K187" s="2"/>
    </row>
    <row r="188" spans="1:11" hidden="1" x14ac:dyDescent="0.35"/>
    <row r="189" spans="1:11" hidden="1" x14ac:dyDescent="0.35"/>
    <row r="190" spans="1:11" hidden="1" x14ac:dyDescent="0.35"/>
    <row r="191" spans="1:11" hidden="1" x14ac:dyDescent="0.35"/>
    <row r="192" spans="1:11" hidden="1" x14ac:dyDescent="0.35"/>
    <row r="193" hidden="1" x14ac:dyDescent="0.35"/>
    <row r="194" hidden="1" x14ac:dyDescent="0.35"/>
    <row r="195" hidden="1" x14ac:dyDescent="0.35"/>
    <row r="196" hidden="1" x14ac:dyDescent="0.35"/>
    <row r="197" hidden="1" x14ac:dyDescent="0.35"/>
    <row r="198" hidden="1" x14ac:dyDescent="0.35"/>
    <row r="199" hidden="1" x14ac:dyDescent="0.35"/>
    <row r="200" hidden="1" x14ac:dyDescent="0.35"/>
    <row r="201" hidden="1" x14ac:dyDescent="0.35"/>
    <row r="202" hidden="1" x14ac:dyDescent="0.35"/>
    <row r="203" hidden="1" x14ac:dyDescent="0.35"/>
    <row r="204" hidden="1" x14ac:dyDescent="0.35"/>
    <row r="205" hidden="1" x14ac:dyDescent="0.35"/>
    <row r="206" hidden="1" x14ac:dyDescent="0.35"/>
    <row r="207" hidden="1" x14ac:dyDescent="0.35"/>
    <row r="208" hidden="1" x14ac:dyDescent="0.35"/>
    <row r="209" hidden="1" x14ac:dyDescent="0.35"/>
    <row r="210" hidden="1" x14ac:dyDescent="0.35"/>
    <row r="211" hidden="1" x14ac:dyDescent="0.35"/>
    <row r="212" hidden="1" x14ac:dyDescent="0.35"/>
    <row r="213" hidden="1" x14ac:dyDescent="0.35"/>
    <row r="214" hidden="1" x14ac:dyDescent="0.35"/>
    <row r="215" hidden="1" x14ac:dyDescent="0.35"/>
    <row r="216" hidden="1" x14ac:dyDescent="0.35"/>
    <row r="217" hidden="1" x14ac:dyDescent="0.35"/>
    <row r="218" hidden="1" x14ac:dyDescent="0.35"/>
    <row r="219" hidden="1" x14ac:dyDescent="0.35"/>
    <row r="220" hidden="1" x14ac:dyDescent="0.35"/>
    <row r="221" hidden="1" x14ac:dyDescent="0.35"/>
    <row r="222" hidden="1" x14ac:dyDescent="0.35"/>
    <row r="223" hidden="1" x14ac:dyDescent="0.35"/>
    <row r="224" hidden="1" x14ac:dyDescent="0.35"/>
    <row r="225" hidden="1" x14ac:dyDescent="0.35"/>
    <row r="226" hidden="1" x14ac:dyDescent="0.35"/>
    <row r="227" hidden="1" x14ac:dyDescent="0.35"/>
    <row r="228" hidden="1" x14ac:dyDescent="0.35"/>
    <row r="229" hidden="1" x14ac:dyDescent="0.35"/>
    <row r="230" hidden="1" x14ac:dyDescent="0.35"/>
    <row r="231" hidden="1" x14ac:dyDescent="0.35"/>
    <row r="232" hidden="1" x14ac:dyDescent="0.35"/>
    <row r="233" hidden="1" x14ac:dyDescent="0.35"/>
    <row r="234" hidden="1" x14ac:dyDescent="0.35"/>
    <row r="235" hidden="1" x14ac:dyDescent="0.35"/>
    <row r="236" hidden="1" x14ac:dyDescent="0.35"/>
    <row r="237" hidden="1" x14ac:dyDescent="0.35"/>
    <row r="238" hidden="1" x14ac:dyDescent="0.35"/>
    <row r="239" hidden="1" x14ac:dyDescent="0.35"/>
    <row r="240"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49" hidden="1" x14ac:dyDescent="0.35"/>
    <row r="350" hidden="1" x14ac:dyDescent="0.35"/>
    <row r="351" hidden="1" x14ac:dyDescent="0.35"/>
    <row r="352" hidden="1" x14ac:dyDescent="0.35"/>
    <row r="353" hidden="1" x14ac:dyDescent="0.35"/>
    <row r="354" hidden="1" x14ac:dyDescent="0.35"/>
    <row r="355" hidden="1" x14ac:dyDescent="0.35"/>
    <row r="356"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hidden="1" x14ac:dyDescent="0.35"/>
    <row r="402" hidden="1" x14ac:dyDescent="0.35"/>
    <row r="403" hidden="1" x14ac:dyDescent="0.35"/>
    <row r="404" hidden="1" x14ac:dyDescent="0.35"/>
    <row r="405" hidden="1" x14ac:dyDescent="0.35"/>
    <row r="406" hidden="1" x14ac:dyDescent="0.35"/>
    <row r="407" hidden="1" x14ac:dyDescent="0.35"/>
    <row r="408" hidden="1" x14ac:dyDescent="0.35"/>
    <row r="409" hidden="1" x14ac:dyDescent="0.35"/>
    <row r="410" hidden="1" x14ac:dyDescent="0.35"/>
    <row r="411" hidden="1" x14ac:dyDescent="0.35"/>
    <row r="412" hidden="1" x14ac:dyDescent="0.35"/>
    <row r="413" hidden="1" x14ac:dyDescent="0.35"/>
    <row r="414" hidden="1" x14ac:dyDescent="0.35"/>
    <row r="415" hidden="1" x14ac:dyDescent="0.35"/>
    <row r="416" hidden="1" x14ac:dyDescent="0.35"/>
    <row r="417" hidden="1" x14ac:dyDescent="0.35"/>
    <row r="418" hidden="1" x14ac:dyDescent="0.35"/>
    <row r="419" hidden="1" x14ac:dyDescent="0.35"/>
    <row r="420" hidden="1" x14ac:dyDescent="0.35"/>
    <row r="421" hidden="1" x14ac:dyDescent="0.35"/>
    <row r="422" hidden="1" x14ac:dyDescent="0.35"/>
    <row r="423" hidden="1" x14ac:dyDescent="0.35"/>
    <row r="424" hidden="1" x14ac:dyDescent="0.35"/>
    <row r="425" hidden="1" x14ac:dyDescent="0.35"/>
    <row r="426" hidden="1" x14ac:dyDescent="0.35"/>
    <row r="427" hidden="1" x14ac:dyDescent="0.35"/>
    <row r="428" hidden="1" x14ac:dyDescent="0.35"/>
    <row r="429" hidden="1" x14ac:dyDescent="0.35"/>
    <row r="430" hidden="1" x14ac:dyDescent="0.35"/>
    <row r="431" hidden="1" x14ac:dyDescent="0.35"/>
    <row r="432" hidden="1" x14ac:dyDescent="0.35"/>
    <row r="433" hidden="1" x14ac:dyDescent="0.35"/>
    <row r="434" hidden="1" x14ac:dyDescent="0.35"/>
    <row r="435" hidden="1" x14ac:dyDescent="0.35"/>
    <row r="436" hidden="1" x14ac:dyDescent="0.35"/>
    <row r="437" hidden="1" x14ac:dyDescent="0.35"/>
    <row r="438" hidden="1" x14ac:dyDescent="0.35"/>
    <row r="439" hidden="1" x14ac:dyDescent="0.35"/>
    <row r="440" hidden="1" x14ac:dyDescent="0.35"/>
    <row r="441" hidden="1" x14ac:dyDescent="0.35"/>
    <row r="442" hidden="1" x14ac:dyDescent="0.35"/>
    <row r="443" hidden="1" x14ac:dyDescent="0.35"/>
    <row r="444" hidden="1" x14ac:dyDescent="0.35"/>
    <row r="445" hidden="1" x14ac:dyDescent="0.35"/>
    <row r="446" hidden="1" x14ac:dyDescent="0.35"/>
    <row r="447" hidden="1" x14ac:dyDescent="0.35"/>
    <row r="448" hidden="1" x14ac:dyDescent="0.35"/>
    <row r="449" hidden="1" x14ac:dyDescent="0.35"/>
    <row r="450" hidden="1" x14ac:dyDescent="0.35"/>
    <row r="451" hidden="1" x14ac:dyDescent="0.35"/>
    <row r="452" hidden="1" x14ac:dyDescent="0.35"/>
    <row r="453" hidden="1" x14ac:dyDescent="0.35"/>
    <row r="454" hidden="1" x14ac:dyDescent="0.35"/>
    <row r="455" hidden="1" x14ac:dyDescent="0.35"/>
    <row r="456" hidden="1" x14ac:dyDescent="0.35"/>
    <row r="457" hidden="1" x14ac:dyDescent="0.35"/>
    <row r="458" hidden="1" x14ac:dyDescent="0.35"/>
    <row r="459" hidden="1" x14ac:dyDescent="0.35"/>
    <row r="460" hidden="1" x14ac:dyDescent="0.35"/>
    <row r="461" hidden="1" x14ac:dyDescent="0.35"/>
    <row r="462" hidden="1" x14ac:dyDescent="0.35"/>
    <row r="463" hidden="1" x14ac:dyDescent="0.35"/>
    <row r="464" hidden="1" x14ac:dyDescent="0.35"/>
    <row r="465" hidden="1" x14ac:dyDescent="0.35"/>
    <row r="466" hidden="1" x14ac:dyDescent="0.35"/>
    <row r="467" hidden="1" x14ac:dyDescent="0.35"/>
    <row r="468" hidden="1" x14ac:dyDescent="0.35"/>
    <row r="469" hidden="1" x14ac:dyDescent="0.35"/>
    <row r="470" hidden="1" x14ac:dyDescent="0.35"/>
    <row r="471" hidden="1" x14ac:dyDescent="0.35"/>
    <row r="472" hidden="1" x14ac:dyDescent="0.35"/>
    <row r="473" hidden="1" x14ac:dyDescent="0.35"/>
    <row r="474" hidden="1" x14ac:dyDescent="0.35"/>
    <row r="475" hidden="1" x14ac:dyDescent="0.35"/>
    <row r="476" hidden="1" x14ac:dyDescent="0.35"/>
    <row r="477" hidden="1" x14ac:dyDescent="0.35"/>
    <row r="478" hidden="1" x14ac:dyDescent="0.35"/>
    <row r="479" hidden="1" x14ac:dyDescent="0.35"/>
    <row r="480" hidden="1" x14ac:dyDescent="0.35"/>
    <row r="481" hidden="1" x14ac:dyDescent="0.35"/>
    <row r="482" hidden="1" x14ac:dyDescent="0.35"/>
    <row r="483" hidden="1" x14ac:dyDescent="0.35"/>
    <row r="484" hidden="1" x14ac:dyDescent="0.35"/>
    <row r="485" hidden="1" x14ac:dyDescent="0.35"/>
    <row r="486" hidden="1" x14ac:dyDescent="0.35"/>
    <row r="487" hidden="1" x14ac:dyDescent="0.35"/>
    <row r="488" hidden="1" x14ac:dyDescent="0.35"/>
    <row r="489" hidden="1" x14ac:dyDescent="0.35"/>
    <row r="490" hidden="1" x14ac:dyDescent="0.35"/>
    <row r="491" hidden="1" x14ac:dyDescent="0.35"/>
    <row r="492" hidden="1" x14ac:dyDescent="0.35"/>
    <row r="493" hidden="1" x14ac:dyDescent="0.35"/>
    <row r="494" hidden="1" x14ac:dyDescent="0.35"/>
    <row r="495" hidden="1" x14ac:dyDescent="0.35"/>
    <row r="496" hidden="1" x14ac:dyDescent="0.35"/>
    <row r="497" hidden="1" x14ac:dyDescent="0.35"/>
    <row r="498" hidden="1" x14ac:dyDescent="0.35"/>
    <row r="499" hidden="1" x14ac:dyDescent="0.35"/>
    <row r="500" hidden="1" x14ac:dyDescent="0.35"/>
    <row r="501" hidden="1" x14ac:dyDescent="0.35"/>
    <row r="502" hidden="1" x14ac:dyDescent="0.35"/>
    <row r="503" hidden="1" x14ac:dyDescent="0.35"/>
    <row r="504" hidden="1" x14ac:dyDescent="0.35"/>
    <row r="505" hidden="1" x14ac:dyDescent="0.35"/>
    <row r="506" hidden="1" x14ac:dyDescent="0.35"/>
    <row r="507" hidden="1" x14ac:dyDescent="0.35"/>
    <row r="508" hidden="1" x14ac:dyDescent="0.35"/>
    <row r="509" hidden="1" x14ac:dyDescent="0.35"/>
    <row r="510" hidden="1" x14ac:dyDescent="0.35"/>
    <row r="511" hidden="1" x14ac:dyDescent="0.35"/>
    <row r="512" hidden="1" x14ac:dyDescent="0.35"/>
    <row r="513" hidden="1" x14ac:dyDescent="0.35"/>
    <row r="514" hidden="1" x14ac:dyDescent="0.35"/>
    <row r="515" hidden="1" x14ac:dyDescent="0.35"/>
    <row r="516" hidden="1" x14ac:dyDescent="0.35"/>
    <row r="517" hidden="1" x14ac:dyDescent="0.35"/>
    <row r="518" hidden="1" x14ac:dyDescent="0.35"/>
    <row r="519" hidden="1" x14ac:dyDescent="0.35"/>
    <row r="520" hidden="1" x14ac:dyDescent="0.35"/>
    <row r="521" hidden="1" x14ac:dyDescent="0.35"/>
    <row r="522" hidden="1" x14ac:dyDescent="0.35"/>
    <row r="523" hidden="1" x14ac:dyDescent="0.35"/>
    <row r="524" hidden="1" x14ac:dyDescent="0.35"/>
    <row r="525" hidden="1" x14ac:dyDescent="0.35"/>
    <row r="526" hidden="1" x14ac:dyDescent="0.35"/>
    <row r="527" hidden="1" x14ac:dyDescent="0.35"/>
    <row r="528" hidden="1" x14ac:dyDescent="0.35"/>
    <row r="529" hidden="1" x14ac:dyDescent="0.35"/>
    <row r="530" hidden="1" x14ac:dyDescent="0.35"/>
    <row r="531" hidden="1" x14ac:dyDescent="0.35"/>
    <row r="532" hidden="1" x14ac:dyDescent="0.35"/>
    <row r="533" hidden="1" x14ac:dyDescent="0.35"/>
    <row r="534" hidden="1" x14ac:dyDescent="0.35"/>
    <row r="535" hidden="1" x14ac:dyDescent="0.35"/>
    <row r="536" hidden="1" x14ac:dyDescent="0.35"/>
    <row r="537" hidden="1" x14ac:dyDescent="0.35"/>
    <row r="538" hidden="1" x14ac:dyDescent="0.35"/>
    <row r="539" hidden="1" x14ac:dyDescent="0.35"/>
    <row r="540" hidden="1" x14ac:dyDescent="0.35"/>
    <row r="541" hidden="1" x14ac:dyDescent="0.35"/>
    <row r="542" hidden="1" x14ac:dyDescent="0.35"/>
    <row r="543" hidden="1" x14ac:dyDescent="0.35"/>
    <row r="544" hidden="1" x14ac:dyDescent="0.35"/>
    <row r="545" hidden="1" x14ac:dyDescent="0.35"/>
    <row r="546" hidden="1" x14ac:dyDescent="0.35"/>
    <row r="547" hidden="1" x14ac:dyDescent="0.35"/>
    <row r="548" hidden="1" x14ac:dyDescent="0.35"/>
    <row r="549" hidden="1" x14ac:dyDescent="0.35"/>
    <row r="550" hidden="1" x14ac:dyDescent="0.35"/>
    <row r="551" hidden="1" x14ac:dyDescent="0.35"/>
    <row r="552" hidden="1" x14ac:dyDescent="0.35"/>
    <row r="553" hidden="1" x14ac:dyDescent="0.35"/>
    <row r="554" hidden="1" x14ac:dyDescent="0.35"/>
    <row r="555" hidden="1" x14ac:dyDescent="0.35"/>
    <row r="556" hidden="1" x14ac:dyDescent="0.35"/>
    <row r="557" hidden="1" x14ac:dyDescent="0.35"/>
    <row r="558" hidden="1" x14ac:dyDescent="0.35"/>
    <row r="559" hidden="1" x14ac:dyDescent="0.35"/>
    <row r="560" hidden="1" x14ac:dyDescent="0.35"/>
    <row r="561" hidden="1" x14ac:dyDescent="0.35"/>
    <row r="562" hidden="1" x14ac:dyDescent="0.35"/>
    <row r="563" hidden="1" x14ac:dyDescent="0.35"/>
    <row r="564" hidden="1" x14ac:dyDescent="0.35"/>
    <row r="565" hidden="1" x14ac:dyDescent="0.35"/>
    <row r="566" hidden="1" x14ac:dyDescent="0.35"/>
    <row r="567" hidden="1" x14ac:dyDescent="0.35"/>
    <row r="568" hidden="1" x14ac:dyDescent="0.35"/>
    <row r="569" hidden="1" x14ac:dyDescent="0.35"/>
    <row r="570" hidden="1" x14ac:dyDescent="0.35"/>
    <row r="571" hidden="1" x14ac:dyDescent="0.35"/>
    <row r="572" hidden="1" x14ac:dyDescent="0.35"/>
    <row r="573" hidden="1" x14ac:dyDescent="0.35"/>
    <row r="574" hidden="1" x14ac:dyDescent="0.35"/>
    <row r="575" hidden="1" x14ac:dyDescent="0.35"/>
    <row r="576" hidden="1" x14ac:dyDescent="0.35"/>
    <row r="577" hidden="1" x14ac:dyDescent="0.35"/>
    <row r="578" hidden="1" x14ac:dyDescent="0.35"/>
    <row r="579" hidden="1" x14ac:dyDescent="0.35"/>
    <row r="580" hidden="1" x14ac:dyDescent="0.35"/>
    <row r="581" hidden="1" x14ac:dyDescent="0.35"/>
    <row r="582" hidden="1" x14ac:dyDescent="0.35"/>
    <row r="583" hidden="1" x14ac:dyDescent="0.35"/>
    <row r="584" hidden="1" x14ac:dyDescent="0.35"/>
    <row r="585" hidden="1" x14ac:dyDescent="0.35"/>
    <row r="586" hidden="1" x14ac:dyDescent="0.35"/>
    <row r="587" hidden="1" x14ac:dyDescent="0.35"/>
    <row r="588" hidden="1" x14ac:dyDescent="0.35"/>
    <row r="589" hidden="1" x14ac:dyDescent="0.35"/>
    <row r="590" hidden="1" x14ac:dyDescent="0.35"/>
    <row r="591" hidden="1" x14ac:dyDescent="0.35"/>
    <row r="592" hidden="1" x14ac:dyDescent="0.35"/>
    <row r="593" spans="1:11" hidden="1" x14ac:dyDescent="0.35"/>
    <row r="594" spans="1:11" hidden="1" x14ac:dyDescent="0.35"/>
    <row r="595" spans="1:11" hidden="1" x14ac:dyDescent="0.35"/>
    <row r="596" spans="1:11" hidden="1" x14ac:dyDescent="0.35"/>
    <row r="597" spans="1:11" hidden="1" x14ac:dyDescent="0.35"/>
    <row r="598" spans="1:11" hidden="1" x14ac:dyDescent="0.35"/>
    <row r="599" spans="1:11" hidden="1" x14ac:dyDescent="0.35"/>
    <row r="600" spans="1:11" hidden="1" x14ac:dyDescent="0.35"/>
    <row r="601" spans="1:11" hidden="1" x14ac:dyDescent="0.35"/>
    <row r="602" spans="1:11" hidden="1" x14ac:dyDescent="0.35"/>
    <row r="603" spans="1:11" ht="24.95" customHeight="1" x14ac:dyDescent="0.35">
      <c r="A603" s="2"/>
      <c r="B603" s="2"/>
      <c r="C603" s="42"/>
      <c r="D603" s="43"/>
      <c r="E603" s="44" t="s">
        <v>29</v>
      </c>
      <c r="F603" s="45">
        <f>SUM($F$136:F187)</f>
        <v>0</v>
      </c>
      <c r="G603" s="2"/>
      <c r="H603" s="14" t="s">
        <v>2</v>
      </c>
      <c r="I603" s="46" t="s">
        <v>30</v>
      </c>
      <c r="J603" s="2"/>
      <c r="K603" s="2"/>
    </row>
    <row r="604" spans="1:11" ht="24.95" customHeight="1" x14ac:dyDescent="0.35">
      <c r="A604" s="2"/>
      <c r="B604" s="2"/>
      <c r="C604" s="42"/>
      <c r="D604" s="44" t="str">
        <f>IF(E604=0.21,"IVA",IF(E604=0.1,"IVA reducido",IF(E604=0.07,"IGIC",IF(E604=0.06,"IPSI",IF(E604=0.04,"IPSI",IF(E604="","SELECCIONA TIPO DE IMPUESTO ►"))))))</f>
        <v>IVA</v>
      </c>
      <c r="E604" s="63">
        <v>0.21</v>
      </c>
      <c r="F604" s="67">
        <f>IF(E604="",0,F603*E604)</f>
        <v>0</v>
      </c>
      <c r="G604" s="2"/>
      <c r="H604" s="14" t="s">
        <v>2</v>
      </c>
      <c r="I604" s="47" t="s">
        <v>31</v>
      </c>
      <c r="J604" s="48" t="s">
        <v>32</v>
      </c>
      <c r="K604" s="49">
        <v>0.21</v>
      </c>
    </row>
    <row r="605" spans="1:11" ht="24.95" customHeight="1" x14ac:dyDescent="0.35">
      <c r="A605" s="2"/>
      <c r="B605" s="2"/>
      <c r="C605" s="42"/>
      <c r="D605" s="50"/>
      <c r="E605" s="51" t="str">
        <f>IF(D604="SELECCIONA TIPO DE IMPUESTO ►","ERROR ▲",CONCATENATE("Total ",D604," incluido"))</f>
        <v>Total IVA incluido</v>
      </c>
      <c r="F605" s="52" t="str">
        <f>(IF(F604=0,"-    €",F603+F604))</f>
        <v>-    €</v>
      </c>
      <c r="G605" s="2"/>
      <c r="H605" s="14" t="s">
        <v>2</v>
      </c>
      <c r="I605" s="46" t="s">
        <v>30</v>
      </c>
      <c r="J605" s="48" t="s">
        <v>33</v>
      </c>
      <c r="K605" s="49">
        <v>0.1</v>
      </c>
    </row>
    <row r="606" spans="1:11" ht="13.9" x14ac:dyDescent="0.35">
      <c r="A606" s="2"/>
      <c r="B606" s="2"/>
      <c r="C606" s="53"/>
      <c r="D606" s="54"/>
      <c r="E606" s="54"/>
      <c r="F606" s="54"/>
      <c r="G606" s="2"/>
      <c r="H606" s="2"/>
      <c r="I606" s="2"/>
      <c r="J606" s="48" t="s">
        <v>34</v>
      </c>
      <c r="K606" s="55">
        <v>7.0000000000000007E-2</v>
      </c>
    </row>
    <row r="607" spans="1:11" ht="15" customHeight="1" x14ac:dyDescent="0.35">
      <c r="A607" s="2"/>
      <c r="B607" s="2"/>
      <c r="C607" s="56" t="s">
        <v>35</v>
      </c>
      <c r="D607" s="190">
        <f ca="1">TODAY()</f>
        <v>46064</v>
      </c>
      <c r="E607" s="190"/>
      <c r="F607" s="190"/>
      <c r="G607" s="2"/>
      <c r="H607" s="14" t="s">
        <v>2</v>
      </c>
      <c r="I607" s="2" t="s">
        <v>36</v>
      </c>
      <c r="J607" s="57"/>
      <c r="K607" s="49">
        <v>0.06</v>
      </c>
    </row>
    <row r="608" spans="1:11" ht="13.9" x14ac:dyDescent="0.35">
      <c r="A608" s="2"/>
      <c r="B608" s="2"/>
      <c r="C608" s="53"/>
      <c r="D608" s="54"/>
      <c r="E608" s="54"/>
      <c r="F608" s="54"/>
      <c r="G608" s="2"/>
      <c r="H608" s="2"/>
      <c r="I608" s="2"/>
      <c r="J608" s="2"/>
      <c r="K608" s="49">
        <v>0.04</v>
      </c>
    </row>
    <row r="612" spans="4:8" ht="16.899999999999999" x14ac:dyDescent="0.35">
      <c r="D612" s="60"/>
      <c r="H612" s="1"/>
    </row>
    <row r="613" spans="4:8" x14ac:dyDescent="0.35">
      <c r="F613" s="61"/>
      <c r="H613" s="1"/>
    </row>
    <row r="615" spans="4:8" x14ac:dyDescent="0.35">
      <c r="E615" s="61"/>
      <c r="H615" s="1"/>
    </row>
    <row r="616" spans="4:8" x14ac:dyDescent="0.35">
      <c r="E616" s="62"/>
      <c r="H616" s="1"/>
    </row>
    <row r="617" spans="4:8" x14ac:dyDescent="0.35">
      <c r="H617" s="1"/>
    </row>
    <row r="618" spans="4:8" x14ac:dyDescent="0.35">
      <c r="H618" s="1"/>
    </row>
    <row r="619" spans="4:8" x14ac:dyDescent="0.35">
      <c r="H619" s="1"/>
    </row>
  </sheetData>
  <sheetProtection algorithmName="SHA-512" hashValue="nXHGyLSd44BEn79gXfsU49gXqdi3x2ekFCDxwQph/kglKyMC7/jc5fbpIPvAoX+LNdndsv+nxNY7pbxFMpxKTw==" saltValue="uIDKycutl50y160e8E0m9A==" spinCount="100000" sheet="1" objects="1" scenarios="1"/>
  <mergeCells count="23">
    <mergeCell ref="I14:I18"/>
    <mergeCell ref="D607:F607"/>
    <mergeCell ref="I136:I139"/>
    <mergeCell ref="I141:I143"/>
    <mergeCell ref="I144:I147"/>
    <mergeCell ref="I148:I151"/>
    <mergeCell ref="I152:I153"/>
    <mergeCell ref="I72:I74"/>
    <mergeCell ref="B133:F133"/>
    <mergeCell ref="I154:I155"/>
    <mergeCell ref="I129:I131"/>
    <mergeCell ref="I26:I31"/>
    <mergeCell ref="B64:F65"/>
    <mergeCell ref="E8:F8"/>
    <mergeCell ref="E9:F9"/>
    <mergeCell ref="I9:I13"/>
    <mergeCell ref="E10:F10"/>
    <mergeCell ref="E11:F11"/>
    <mergeCell ref="A2:G2"/>
    <mergeCell ref="E5:F5"/>
    <mergeCell ref="I5:I6"/>
    <mergeCell ref="E6:F6"/>
    <mergeCell ref="E7:F7"/>
  </mergeCells>
  <conditionalFormatting sqref="F187 F179:F185 F136:F159 F162:F176">
    <cfRule type="cellIs" dxfId="20" priority="130" stopIfTrue="1" operator="equal">
      <formula>0</formula>
    </cfRule>
  </conditionalFormatting>
  <conditionalFormatting sqref="E5:F11 B187:E598 B179:E185 B136:E159 B162:E176">
    <cfRule type="expression" dxfId="19" priority="25">
      <formula>$J$30&lt;9</formula>
    </cfRule>
    <cfRule type="expression" dxfId="18" priority="26">
      <formula>$J$30=9</formula>
    </cfRule>
  </conditionalFormatting>
  <conditionalFormatting sqref="E604">
    <cfRule type="expression" dxfId="17" priority="16">
      <formula>$J$30&lt;9</formula>
    </cfRule>
    <cfRule type="expression" dxfId="16" priority="17">
      <formula>$J$30=9</formula>
    </cfRule>
  </conditionalFormatting>
  <conditionalFormatting sqref="E604">
    <cfRule type="cellIs" dxfId="15" priority="18" operator="equal">
      <formula>$K$606</formula>
    </cfRule>
  </conditionalFormatting>
  <conditionalFormatting sqref="F186">
    <cfRule type="cellIs" dxfId="14" priority="15" stopIfTrue="1" operator="equal">
      <formula>0</formula>
    </cfRule>
  </conditionalFormatting>
  <conditionalFormatting sqref="B186:E186">
    <cfRule type="expression" dxfId="13" priority="13">
      <formula>$J$30&lt;9</formula>
    </cfRule>
    <cfRule type="expression" dxfId="12" priority="14">
      <formula>$J$30=9</formula>
    </cfRule>
  </conditionalFormatting>
  <conditionalFormatting sqref="F178">
    <cfRule type="cellIs" dxfId="11" priority="12" stopIfTrue="1" operator="equal">
      <formula>0</formula>
    </cfRule>
  </conditionalFormatting>
  <conditionalFormatting sqref="B178:E178">
    <cfRule type="expression" dxfId="10" priority="10">
      <formula>$J$30&lt;9</formula>
    </cfRule>
    <cfRule type="expression" dxfId="9" priority="11">
      <formula>$J$30=9</formula>
    </cfRule>
  </conditionalFormatting>
  <conditionalFormatting sqref="F161">
    <cfRule type="cellIs" dxfId="8" priority="9" stopIfTrue="1" operator="equal">
      <formula>0</formula>
    </cfRule>
  </conditionalFormatting>
  <conditionalFormatting sqref="B161:E161">
    <cfRule type="expression" dxfId="7" priority="7">
      <formula>$J$30&lt;9</formula>
    </cfRule>
    <cfRule type="expression" dxfId="6" priority="8">
      <formula>$J$30=9</formula>
    </cfRule>
  </conditionalFormatting>
  <conditionalFormatting sqref="F160">
    <cfRule type="cellIs" dxfId="5" priority="6" stopIfTrue="1" operator="equal">
      <formula>0</formula>
    </cfRule>
  </conditionalFormatting>
  <conditionalFormatting sqref="B160:E160">
    <cfRule type="expression" dxfId="4" priority="4">
      <formula>$J$30&lt;9</formula>
    </cfRule>
    <cfRule type="expression" dxfId="3" priority="5">
      <formula>$J$30=9</formula>
    </cfRule>
  </conditionalFormatting>
  <conditionalFormatting sqref="F177">
    <cfRule type="cellIs" dxfId="2" priority="3" stopIfTrue="1" operator="equal">
      <formula>0</formula>
    </cfRule>
  </conditionalFormatting>
  <conditionalFormatting sqref="B177:E177">
    <cfRule type="expression" dxfId="1" priority="1">
      <formula>$J$30&lt;9</formula>
    </cfRule>
    <cfRule type="expression" dxfId="0" priority="2">
      <formula>$J$30=9</formula>
    </cfRule>
  </conditionalFormatting>
  <dataValidations xWindow="627" yWindow="630" count="1">
    <dataValidation type="list" showErrorMessage="1" errorTitle="Tipo de impuesto incorrecto" error="Debe seleccionar un tipo de impuesto de la lista" promptTitle="TIPO DE IMPUESTO" prompt="IVA Reducido....... 10%_x000a_IVA Normal........... 21%_x000a_IGIC (Canarias)...... 6,5%_x000a_IPSI (Ceuta/Melilla)" sqref="E604" xr:uid="{00000000-0002-0000-0000-000000000000}">
      <formula1>$K$603:$K$608</formula1>
    </dataValidation>
  </dataValidations>
  <printOptions horizontalCentered="1"/>
  <pageMargins left="0.39370078740157483" right="0.39370078740157483" top="0.19685039370078741" bottom="0.39370078740157483" header="0.19685039370078741" footer="0.19685039370078741"/>
  <pageSetup paperSize="9" scale="77" fitToHeight="0" orientation="portrait" r:id="rId1"/>
  <headerFooter alignWithMargins="0">
    <oddFooter>&amp;RPágina &amp;P</oddFooter>
  </headerFooter>
  <rowBreaks count="2" manualBreakCount="2">
    <brk id="70" max="6" man="1"/>
    <brk id="127" max="6" man="1"/>
  </rowBreaks>
  <colBreaks count="1" manualBreakCount="1">
    <brk id="2" max="604"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Hoja1.GuardarPDF">
                <anchor>
                  <from>
                    <xdr:col>7</xdr:col>
                    <xdr:colOff>342900</xdr:colOff>
                    <xdr:row>7</xdr:row>
                    <xdr:rowOff>142875</xdr:rowOff>
                  </from>
                  <to>
                    <xdr:col>8</xdr:col>
                    <xdr:colOff>2790825</xdr:colOff>
                    <xdr:row>13</xdr:row>
                    <xdr:rowOff>0</xdr:rowOff>
                  </to>
                </anchor>
              </controlPr>
            </control>
          </mc:Choice>
        </mc:AlternateContent>
        <mc:AlternateContent xmlns:mc="http://schemas.openxmlformats.org/markup-compatibility/2006">
          <mc:Choice Requires="x14">
            <control shapeId="1028" r:id="rId5" name="Button 4">
              <controlPr defaultSize="0" print="0" autoFill="0" autoPict="0" macro="[0]!Hoja1.InsertarFilas">
                <anchor>
                  <from>
                    <xdr:col>7</xdr:col>
                    <xdr:colOff>133350</xdr:colOff>
                    <xdr:row>175</xdr:row>
                    <xdr:rowOff>123825</xdr:rowOff>
                  </from>
                  <to>
                    <xdr:col>8</xdr:col>
                    <xdr:colOff>2609850</xdr:colOff>
                    <xdr:row>180</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CA5FC-D949-4022-B744-44CD39C8EA13}">
  <sheetPr codeName="Hoja2">
    <pageSetUpPr fitToPage="1"/>
  </sheetPr>
  <dimension ref="A1:U57"/>
  <sheetViews>
    <sheetView zoomScaleNormal="100" zoomScaleSheetLayoutView="100" workbookViewId="0">
      <selection activeCell="C30" sqref="C30:S30"/>
    </sheetView>
  </sheetViews>
  <sheetFormatPr baseColWidth="10" defaultColWidth="11.3984375" defaultRowHeight="12.75" x14ac:dyDescent="0.35"/>
  <cols>
    <col min="1" max="1" width="11.3984375" style="96"/>
    <col min="2" max="2" width="0.86328125" style="96" customWidth="1"/>
    <col min="3" max="5" width="16.73046875" style="96" customWidth="1"/>
    <col min="6" max="6" width="0.86328125" style="96" customWidth="1"/>
    <col min="7" max="7" width="1.73046875" style="96" customWidth="1"/>
    <col min="8" max="8" width="0.86328125" style="96" customWidth="1"/>
    <col min="9" max="10" width="18.73046875" style="96" customWidth="1"/>
    <col min="11" max="11" width="0.86328125" style="96" customWidth="1"/>
    <col min="12" max="12" width="3.73046875" style="96" customWidth="1"/>
    <col min="13" max="13" width="0.86328125" style="96" customWidth="1"/>
    <col min="14" max="14" width="20.73046875" style="96" customWidth="1"/>
    <col min="15" max="15" width="0.86328125" style="96" customWidth="1"/>
    <col min="16" max="16" width="1.73046875" style="96" customWidth="1"/>
    <col min="17" max="17" width="0.86328125" style="96" customWidth="1"/>
    <col min="18" max="19" width="16.73046875" style="96" customWidth="1"/>
    <col min="20" max="20" width="0.86328125" style="96" customWidth="1"/>
    <col min="21" max="257" width="11.3984375" style="96"/>
    <col min="258" max="258" width="0.86328125" style="96" customWidth="1"/>
    <col min="259" max="261" width="16.73046875" style="96" customWidth="1"/>
    <col min="262" max="262" width="0.86328125" style="96" customWidth="1"/>
    <col min="263" max="263" width="1.73046875" style="96" customWidth="1"/>
    <col min="264" max="264" width="0.86328125" style="96" customWidth="1"/>
    <col min="265" max="266" width="18.73046875" style="96" customWidth="1"/>
    <col min="267" max="267" width="0.86328125" style="96" customWidth="1"/>
    <col min="268" max="268" width="3.73046875" style="96" customWidth="1"/>
    <col min="269" max="269" width="0.86328125" style="96" customWidth="1"/>
    <col min="270" max="270" width="20.73046875" style="96" customWidth="1"/>
    <col min="271" max="271" width="0.86328125" style="96" customWidth="1"/>
    <col min="272" max="272" width="1.73046875" style="96" customWidth="1"/>
    <col min="273" max="273" width="0.86328125" style="96" customWidth="1"/>
    <col min="274" max="275" width="16.73046875" style="96" customWidth="1"/>
    <col min="276" max="276" width="0.86328125" style="96" customWidth="1"/>
    <col min="277" max="513" width="11.3984375" style="96"/>
    <col min="514" max="514" width="0.86328125" style="96" customWidth="1"/>
    <col min="515" max="517" width="16.73046875" style="96" customWidth="1"/>
    <col min="518" max="518" width="0.86328125" style="96" customWidth="1"/>
    <col min="519" max="519" width="1.73046875" style="96" customWidth="1"/>
    <col min="520" max="520" width="0.86328125" style="96" customWidth="1"/>
    <col min="521" max="522" width="18.73046875" style="96" customWidth="1"/>
    <col min="523" max="523" width="0.86328125" style="96" customWidth="1"/>
    <col min="524" max="524" width="3.73046875" style="96" customWidth="1"/>
    <col min="525" max="525" width="0.86328125" style="96" customWidth="1"/>
    <col min="526" max="526" width="20.73046875" style="96" customWidth="1"/>
    <col min="527" max="527" width="0.86328125" style="96" customWidth="1"/>
    <col min="528" max="528" width="1.73046875" style="96" customWidth="1"/>
    <col min="529" max="529" width="0.86328125" style="96" customWidth="1"/>
    <col min="530" max="531" width="16.73046875" style="96" customWidth="1"/>
    <col min="532" max="532" width="0.86328125" style="96" customWidth="1"/>
    <col min="533" max="769" width="11.3984375" style="96"/>
    <col min="770" max="770" width="0.86328125" style="96" customWidth="1"/>
    <col min="771" max="773" width="16.73046875" style="96" customWidth="1"/>
    <col min="774" max="774" width="0.86328125" style="96" customWidth="1"/>
    <col min="775" max="775" width="1.73046875" style="96" customWidth="1"/>
    <col min="776" max="776" width="0.86328125" style="96" customWidth="1"/>
    <col min="777" max="778" width="18.73046875" style="96" customWidth="1"/>
    <col min="779" max="779" width="0.86328125" style="96" customWidth="1"/>
    <col min="780" max="780" width="3.73046875" style="96" customWidth="1"/>
    <col min="781" max="781" width="0.86328125" style="96" customWidth="1"/>
    <col min="782" max="782" width="20.73046875" style="96" customWidth="1"/>
    <col min="783" max="783" width="0.86328125" style="96" customWidth="1"/>
    <col min="784" max="784" width="1.73046875" style="96" customWidth="1"/>
    <col min="785" max="785" width="0.86328125" style="96" customWidth="1"/>
    <col min="786" max="787" width="16.73046875" style="96" customWidth="1"/>
    <col min="788" max="788" width="0.86328125" style="96" customWidth="1"/>
    <col min="789" max="1025" width="11.3984375" style="96"/>
    <col min="1026" max="1026" width="0.86328125" style="96" customWidth="1"/>
    <col min="1027" max="1029" width="16.73046875" style="96" customWidth="1"/>
    <col min="1030" max="1030" width="0.86328125" style="96" customWidth="1"/>
    <col min="1031" max="1031" width="1.73046875" style="96" customWidth="1"/>
    <col min="1032" max="1032" width="0.86328125" style="96" customWidth="1"/>
    <col min="1033" max="1034" width="18.73046875" style="96" customWidth="1"/>
    <col min="1035" max="1035" width="0.86328125" style="96" customWidth="1"/>
    <col min="1036" max="1036" width="3.73046875" style="96" customWidth="1"/>
    <col min="1037" max="1037" width="0.86328125" style="96" customWidth="1"/>
    <col min="1038" max="1038" width="20.73046875" style="96" customWidth="1"/>
    <col min="1039" max="1039" width="0.86328125" style="96" customWidth="1"/>
    <col min="1040" max="1040" width="1.73046875" style="96" customWidth="1"/>
    <col min="1041" max="1041" width="0.86328125" style="96" customWidth="1"/>
    <col min="1042" max="1043" width="16.73046875" style="96" customWidth="1"/>
    <col min="1044" max="1044" width="0.86328125" style="96" customWidth="1"/>
    <col min="1045" max="1281" width="11.3984375" style="96"/>
    <col min="1282" max="1282" width="0.86328125" style="96" customWidth="1"/>
    <col min="1283" max="1285" width="16.73046875" style="96" customWidth="1"/>
    <col min="1286" max="1286" width="0.86328125" style="96" customWidth="1"/>
    <col min="1287" max="1287" width="1.73046875" style="96" customWidth="1"/>
    <col min="1288" max="1288" width="0.86328125" style="96" customWidth="1"/>
    <col min="1289" max="1290" width="18.73046875" style="96" customWidth="1"/>
    <col min="1291" max="1291" width="0.86328125" style="96" customWidth="1"/>
    <col min="1292" max="1292" width="3.73046875" style="96" customWidth="1"/>
    <col min="1293" max="1293" width="0.86328125" style="96" customWidth="1"/>
    <col min="1294" max="1294" width="20.73046875" style="96" customWidth="1"/>
    <col min="1295" max="1295" width="0.86328125" style="96" customWidth="1"/>
    <col min="1296" max="1296" width="1.73046875" style="96" customWidth="1"/>
    <col min="1297" max="1297" width="0.86328125" style="96" customWidth="1"/>
    <col min="1298" max="1299" width="16.73046875" style="96" customWidth="1"/>
    <col min="1300" max="1300" width="0.86328125" style="96" customWidth="1"/>
    <col min="1301" max="1537" width="11.3984375" style="96"/>
    <col min="1538" max="1538" width="0.86328125" style="96" customWidth="1"/>
    <col min="1539" max="1541" width="16.73046875" style="96" customWidth="1"/>
    <col min="1542" max="1542" width="0.86328125" style="96" customWidth="1"/>
    <col min="1543" max="1543" width="1.73046875" style="96" customWidth="1"/>
    <col min="1544" max="1544" width="0.86328125" style="96" customWidth="1"/>
    <col min="1545" max="1546" width="18.73046875" style="96" customWidth="1"/>
    <col min="1547" max="1547" width="0.86328125" style="96" customWidth="1"/>
    <col min="1548" max="1548" width="3.73046875" style="96" customWidth="1"/>
    <col min="1549" max="1549" width="0.86328125" style="96" customWidth="1"/>
    <col min="1550" max="1550" width="20.73046875" style="96" customWidth="1"/>
    <col min="1551" max="1551" width="0.86328125" style="96" customWidth="1"/>
    <col min="1552" max="1552" width="1.73046875" style="96" customWidth="1"/>
    <col min="1553" max="1553" width="0.86328125" style="96" customWidth="1"/>
    <col min="1554" max="1555" width="16.73046875" style="96" customWidth="1"/>
    <col min="1556" max="1556" width="0.86328125" style="96" customWidth="1"/>
    <col min="1557" max="1793" width="11.3984375" style="96"/>
    <col min="1794" max="1794" width="0.86328125" style="96" customWidth="1"/>
    <col min="1795" max="1797" width="16.73046875" style="96" customWidth="1"/>
    <col min="1798" max="1798" width="0.86328125" style="96" customWidth="1"/>
    <col min="1799" max="1799" width="1.73046875" style="96" customWidth="1"/>
    <col min="1800" max="1800" width="0.86328125" style="96" customWidth="1"/>
    <col min="1801" max="1802" width="18.73046875" style="96" customWidth="1"/>
    <col min="1803" max="1803" width="0.86328125" style="96" customWidth="1"/>
    <col min="1804" max="1804" width="3.73046875" style="96" customWidth="1"/>
    <col min="1805" max="1805" width="0.86328125" style="96" customWidth="1"/>
    <col min="1806" max="1806" width="20.73046875" style="96" customWidth="1"/>
    <col min="1807" max="1807" width="0.86328125" style="96" customWidth="1"/>
    <col min="1808" max="1808" width="1.73046875" style="96" customWidth="1"/>
    <col min="1809" max="1809" width="0.86328125" style="96" customWidth="1"/>
    <col min="1810" max="1811" width="16.73046875" style="96" customWidth="1"/>
    <col min="1812" max="1812" width="0.86328125" style="96" customWidth="1"/>
    <col min="1813" max="2049" width="11.3984375" style="96"/>
    <col min="2050" max="2050" width="0.86328125" style="96" customWidth="1"/>
    <col min="2051" max="2053" width="16.73046875" style="96" customWidth="1"/>
    <col min="2054" max="2054" width="0.86328125" style="96" customWidth="1"/>
    <col min="2055" max="2055" width="1.73046875" style="96" customWidth="1"/>
    <col min="2056" max="2056" width="0.86328125" style="96" customWidth="1"/>
    <col min="2057" max="2058" width="18.73046875" style="96" customWidth="1"/>
    <col min="2059" max="2059" width="0.86328125" style="96" customWidth="1"/>
    <col min="2060" max="2060" width="3.73046875" style="96" customWidth="1"/>
    <col min="2061" max="2061" width="0.86328125" style="96" customWidth="1"/>
    <col min="2062" max="2062" width="20.73046875" style="96" customWidth="1"/>
    <col min="2063" max="2063" width="0.86328125" style="96" customWidth="1"/>
    <col min="2064" max="2064" width="1.73046875" style="96" customWidth="1"/>
    <col min="2065" max="2065" width="0.86328125" style="96" customWidth="1"/>
    <col min="2066" max="2067" width="16.73046875" style="96" customWidth="1"/>
    <col min="2068" max="2068" width="0.86328125" style="96" customWidth="1"/>
    <col min="2069" max="2305" width="11.3984375" style="96"/>
    <col min="2306" max="2306" width="0.86328125" style="96" customWidth="1"/>
    <col min="2307" max="2309" width="16.73046875" style="96" customWidth="1"/>
    <col min="2310" max="2310" width="0.86328125" style="96" customWidth="1"/>
    <col min="2311" max="2311" width="1.73046875" style="96" customWidth="1"/>
    <col min="2312" max="2312" width="0.86328125" style="96" customWidth="1"/>
    <col min="2313" max="2314" width="18.73046875" style="96" customWidth="1"/>
    <col min="2315" max="2315" width="0.86328125" style="96" customWidth="1"/>
    <col min="2316" max="2316" width="3.73046875" style="96" customWidth="1"/>
    <col min="2317" max="2317" width="0.86328125" style="96" customWidth="1"/>
    <col min="2318" max="2318" width="20.73046875" style="96" customWidth="1"/>
    <col min="2319" max="2319" width="0.86328125" style="96" customWidth="1"/>
    <col min="2320" max="2320" width="1.73046875" style="96" customWidth="1"/>
    <col min="2321" max="2321" width="0.86328125" style="96" customWidth="1"/>
    <col min="2322" max="2323" width="16.73046875" style="96" customWidth="1"/>
    <col min="2324" max="2324" width="0.86328125" style="96" customWidth="1"/>
    <col min="2325" max="2561" width="11.3984375" style="96"/>
    <col min="2562" max="2562" width="0.86328125" style="96" customWidth="1"/>
    <col min="2563" max="2565" width="16.73046875" style="96" customWidth="1"/>
    <col min="2566" max="2566" width="0.86328125" style="96" customWidth="1"/>
    <col min="2567" max="2567" width="1.73046875" style="96" customWidth="1"/>
    <col min="2568" max="2568" width="0.86328125" style="96" customWidth="1"/>
    <col min="2569" max="2570" width="18.73046875" style="96" customWidth="1"/>
    <col min="2571" max="2571" width="0.86328125" style="96" customWidth="1"/>
    <col min="2572" max="2572" width="3.73046875" style="96" customWidth="1"/>
    <col min="2573" max="2573" width="0.86328125" style="96" customWidth="1"/>
    <col min="2574" max="2574" width="20.73046875" style="96" customWidth="1"/>
    <col min="2575" max="2575" width="0.86328125" style="96" customWidth="1"/>
    <col min="2576" max="2576" width="1.73046875" style="96" customWidth="1"/>
    <col min="2577" max="2577" width="0.86328125" style="96" customWidth="1"/>
    <col min="2578" max="2579" width="16.73046875" style="96" customWidth="1"/>
    <col min="2580" max="2580" width="0.86328125" style="96" customWidth="1"/>
    <col min="2581" max="2817" width="11.3984375" style="96"/>
    <col min="2818" max="2818" width="0.86328125" style="96" customWidth="1"/>
    <col min="2819" max="2821" width="16.73046875" style="96" customWidth="1"/>
    <col min="2822" max="2822" width="0.86328125" style="96" customWidth="1"/>
    <col min="2823" max="2823" width="1.73046875" style="96" customWidth="1"/>
    <col min="2824" max="2824" width="0.86328125" style="96" customWidth="1"/>
    <col min="2825" max="2826" width="18.73046875" style="96" customWidth="1"/>
    <col min="2827" max="2827" width="0.86328125" style="96" customWidth="1"/>
    <col min="2828" max="2828" width="3.73046875" style="96" customWidth="1"/>
    <col min="2829" max="2829" width="0.86328125" style="96" customWidth="1"/>
    <col min="2830" max="2830" width="20.73046875" style="96" customWidth="1"/>
    <col min="2831" max="2831" width="0.86328125" style="96" customWidth="1"/>
    <col min="2832" max="2832" width="1.73046875" style="96" customWidth="1"/>
    <col min="2833" max="2833" width="0.86328125" style="96" customWidth="1"/>
    <col min="2834" max="2835" width="16.73046875" style="96" customWidth="1"/>
    <col min="2836" max="2836" width="0.86328125" style="96" customWidth="1"/>
    <col min="2837" max="3073" width="11.3984375" style="96"/>
    <col min="3074" max="3074" width="0.86328125" style="96" customWidth="1"/>
    <col min="3075" max="3077" width="16.73046875" style="96" customWidth="1"/>
    <col min="3078" max="3078" width="0.86328125" style="96" customWidth="1"/>
    <col min="3079" max="3079" width="1.73046875" style="96" customWidth="1"/>
    <col min="3080" max="3080" width="0.86328125" style="96" customWidth="1"/>
    <col min="3081" max="3082" width="18.73046875" style="96" customWidth="1"/>
    <col min="3083" max="3083" width="0.86328125" style="96" customWidth="1"/>
    <col min="3084" max="3084" width="3.73046875" style="96" customWidth="1"/>
    <col min="3085" max="3085" width="0.86328125" style="96" customWidth="1"/>
    <col min="3086" max="3086" width="20.73046875" style="96" customWidth="1"/>
    <col min="3087" max="3087" width="0.86328125" style="96" customWidth="1"/>
    <col min="3088" max="3088" width="1.73046875" style="96" customWidth="1"/>
    <col min="3089" max="3089" width="0.86328125" style="96" customWidth="1"/>
    <col min="3090" max="3091" width="16.73046875" style="96" customWidth="1"/>
    <col min="3092" max="3092" width="0.86328125" style="96" customWidth="1"/>
    <col min="3093" max="3329" width="11.3984375" style="96"/>
    <col min="3330" max="3330" width="0.86328125" style="96" customWidth="1"/>
    <col min="3331" max="3333" width="16.73046875" style="96" customWidth="1"/>
    <col min="3334" max="3334" width="0.86328125" style="96" customWidth="1"/>
    <col min="3335" max="3335" width="1.73046875" style="96" customWidth="1"/>
    <col min="3336" max="3336" width="0.86328125" style="96" customWidth="1"/>
    <col min="3337" max="3338" width="18.73046875" style="96" customWidth="1"/>
    <col min="3339" max="3339" width="0.86328125" style="96" customWidth="1"/>
    <col min="3340" max="3340" width="3.73046875" style="96" customWidth="1"/>
    <col min="3341" max="3341" width="0.86328125" style="96" customWidth="1"/>
    <col min="3342" max="3342" width="20.73046875" style="96" customWidth="1"/>
    <col min="3343" max="3343" width="0.86328125" style="96" customWidth="1"/>
    <col min="3344" max="3344" width="1.73046875" style="96" customWidth="1"/>
    <col min="3345" max="3345" width="0.86328125" style="96" customWidth="1"/>
    <col min="3346" max="3347" width="16.73046875" style="96" customWidth="1"/>
    <col min="3348" max="3348" width="0.86328125" style="96" customWidth="1"/>
    <col min="3349" max="3585" width="11.3984375" style="96"/>
    <col min="3586" max="3586" width="0.86328125" style="96" customWidth="1"/>
    <col min="3587" max="3589" width="16.73046875" style="96" customWidth="1"/>
    <col min="3590" max="3590" width="0.86328125" style="96" customWidth="1"/>
    <col min="3591" max="3591" width="1.73046875" style="96" customWidth="1"/>
    <col min="3592" max="3592" width="0.86328125" style="96" customWidth="1"/>
    <col min="3593" max="3594" width="18.73046875" style="96" customWidth="1"/>
    <col min="3595" max="3595" width="0.86328125" style="96" customWidth="1"/>
    <col min="3596" max="3596" width="3.73046875" style="96" customWidth="1"/>
    <col min="3597" max="3597" width="0.86328125" style="96" customWidth="1"/>
    <col min="3598" max="3598" width="20.73046875" style="96" customWidth="1"/>
    <col min="3599" max="3599" width="0.86328125" style="96" customWidth="1"/>
    <col min="3600" max="3600" width="1.73046875" style="96" customWidth="1"/>
    <col min="3601" max="3601" width="0.86328125" style="96" customWidth="1"/>
    <col min="3602" max="3603" width="16.73046875" style="96" customWidth="1"/>
    <col min="3604" max="3604" width="0.86328125" style="96" customWidth="1"/>
    <col min="3605" max="3841" width="11.3984375" style="96"/>
    <col min="3842" max="3842" width="0.86328125" style="96" customWidth="1"/>
    <col min="3843" max="3845" width="16.73046875" style="96" customWidth="1"/>
    <col min="3846" max="3846" width="0.86328125" style="96" customWidth="1"/>
    <col min="3847" max="3847" width="1.73046875" style="96" customWidth="1"/>
    <col min="3848" max="3848" width="0.86328125" style="96" customWidth="1"/>
    <col min="3849" max="3850" width="18.73046875" style="96" customWidth="1"/>
    <col min="3851" max="3851" width="0.86328125" style="96" customWidth="1"/>
    <col min="3852" max="3852" width="3.73046875" style="96" customWidth="1"/>
    <col min="3853" max="3853" width="0.86328125" style="96" customWidth="1"/>
    <col min="3854" max="3854" width="20.73046875" style="96" customWidth="1"/>
    <col min="3855" max="3855" width="0.86328125" style="96" customWidth="1"/>
    <col min="3856" max="3856" width="1.73046875" style="96" customWidth="1"/>
    <col min="3857" max="3857" width="0.86328125" style="96" customWidth="1"/>
    <col min="3858" max="3859" width="16.73046875" style="96" customWidth="1"/>
    <col min="3860" max="3860" width="0.86328125" style="96" customWidth="1"/>
    <col min="3861" max="4097" width="11.3984375" style="96"/>
    <col min="4098" max="4098" width="0.86328125" style="96" customWidth="1"/>
    <col min="4099" max="4101" width="16.73046875" style="96" customWidth="1"/>
    <col min="4102" max="4102" width="0.86328125" style="96" customWidth="1"/>
    <col min="4103" max="4103" width="1.73046875" style="96" customWidth="1"/>
    <col min="4104" max="4104" width="0.86328125" style="96" customWidth="1"/>
    <col min="4105" max="4106" width="18.73046875" style="96" customWidth="1"/>
    <col min="4107" max="4107" width="0.86328125" style="96" customWidth="1"/>
    <col min="4108" max="4108" width="3.73046875" style="96" customWidth="1"/>
    <col min="4109" max="4109" width="0.86328125" style="96" customWidth="1"/>
    <col min="4110" max="4110" width="20.73046875" style="96" customWidth="1"/>
    <col min="4111" max="4111" width="0.86328125" style="96" customWidth="1"/>
    <col min="4112" max="4112" width="1.73046875" style="96" customWidth="1"/>
    <col min="4113" max="4113" width="0.86328125" style="96" customWidth="1"/>
    <col min="4114" max="4115" width="16.73046875" style="96" customWidth="1"/>
    <col min="4116" max="4116" width="0.86328125" style="96" customWidth="1"/>
    <col min="4117" max="4353" width="11.3984375" style="96"/>
    <col min="4354" max="4354" width="0.86328125" style="96" customWidth="1"/>
    <col min="4355" max="4357" width="16.73046875" style="96" customWidth="1"/>
    <col min="4358" max="4358" width="0.86328125" style="96" customWidth="1"/>
    <col min="4359" max="4359" width="1.73046875" style="96" customWidth="1"/>
    <col min="4360" max="4360" width="0.86328125" style="96" customWidth="1"/>
    <col min="4361" max="4362" width="18.73046875" style="96" customWidth="1"/>
    <col min="4363" max="4363" width="0.86328125" style="96" customWidth="1"/>
    <col min="4364" max="4364" width="3.73046875" style="96" customWidth="1"/>
    <col min="4365" max="4365" width="0.86328125" style="96" customWidth="1"/>
    <col min="4366" max="4366" width="20.73046875" style="96" customWidth="1"/>
    <col min="4367" max="4367" width="0.86328125" style="96" customWidth="1"/>
    <col min="4368" max="4368" width="1.73046875" style="96" customWidth="1"/>
    <col min="4369" max="4369" width="0.86328125" style="96" customWidth="1"/>
    <col min="4370" max="4371" width="16.73046875" style="96" customWidth="1"/>
    <col min="4372" max="4372" width="0.86328125" style="96" customWidth="1"/>
    <col min="4373" max="4609" width="11.3984375" style="96"/>
    <col min="4610" max="4610" width="0.86328125" style="96" customWidth="1"/>
    <col min="4611" max="4613" width="16.73046875" style="96" customWidth="1"/>
    <col min="4614" max="4614" width="0.86328125" style="96" customWidth="1"/>
    <col min="4615" max="4615" width="1.73046875" style="96" customWidth="1"/>
    <col min="4616" max="4616" width="0.86328125" style="96" customWidth="1"/>
    <col min="4617" max="4618" width="18.73046875" style="96" customWidth="1"/>
    <col min="4619" max="4619" width="0.86328125" style="96" customWidth="1"/>
    <col min="4620" max="4620" width="3.73046875" style="96" customWidth="1"/>
    <col min="4621" max="4621" width="0.86328125" style="96" customWidth="1"/>
    <col min="4622" max="4622" width="20.73046875" style="96" customWidth="1"/>
    <col min="4623" max="4623" width="0.86328125" style="96" customWidth="1"/>
    <col min="4624" max="4624" width="1.73046875" style="96" customWidth="1"/>
    <col min="4625" max="4625" width="0.86328125" style="96" customWidth="1"/>
    <col min="4626" max="4627" width="16.73046875" style="96" customWidth="1"/>
    <col min="4628" max="4628" width="0.86328125" style="96" customWidth="1"/>
    <col min="4629" max="4865" width="11.3984375" style="96"/>
    <col min="4866" max="4866" width="0.86328125" style="96" customWidth="1"/>
    <col min="4867" max="4869" width="16.73046875" style="96" customWidth="1"/>
    <col min="4870" max="4870" width="0.86328125" style="96" customWidth="1"/>
    <col min="4871" max="4871" width="1.73046875" style="96" customWidth="1"/>
    <col min="4872" max="4872" width="0.86328125" style="96" customWidth="1"/>
    <col min="4873" max="4874" width="18.73046875" style="96" customWidth="1"/>
    <col min="4875" max="4875" width="0.86328125" style="96" customWidth="1"/>
    <col min="4876" max="4876" width="3.73046875" style="96" customWidth="1"/>
    <col min="4877" max="4877" width="0.86328125" style="96" customWidth="1"/>
    <col min="4878" max="4878" width="20.73046875" style="96" customWidth="1"/>
    <col min="4879" max="4879" width="0.86328125" style="96" customWidth="1"/>
    <col min="4880" max="4880" width="1.73046875" style="96" customWidth="1"/>
    <col min="4881" max="4881" width="0.86328125" style="96" customWidth="1"/>
    <col min="4882" max="4883" width="16.73046875" style="96" customWidth="1"/>
    <col min="4884" max="4884" width="0.86328125" style="96" customWidth="1"/>
    <col min="4885" max="5121" width="11.3984375" style="96"/>
    <col min="5122" max="5122" width="0.86328125" style="96" customWidth="1"/>
    <col min="5123" max="5125" width="16.73046875" style="96" customWidth="1"/>
    <col min="5126" max="5126" width="0.86328125" style="96" customWidth="1"/>
    <col min="5127" max="5127" width="1.73046875" style="96" customWidth="1"/>
    <col min="5128" max="5128" width="0.86328125" style="96" customWidth="1"/>
    <col min="5129" max="5130" width="18.73046875" style="96" customWidth="1"/>
    <col min="5131" max="5131" width="0.86328125" style="96" customWidth="1"/>
    <col min="5132" max="5132" width="3.73046875" style="96" customWidth="1"/>
    <col min="5133" max="5133" width="0.86328125" style="96" customWidth="1"/>
    <col min="5134" max="5134" width="20.73046875" style="96" customWidth="1"/>
    <col min="5135" max="5135" width="0.86328125" style="96" customWidth="1"/>
    <col min="5136" max="5136" width="1.73046875" style="96" customWidth="1"/>
    <col min="5137" max="5137" width="0.86328125" style="96" customWidth="1"/>
    <col min="5138" max="5139" width="16.73046875" style="96" customWidth="1"/>
    <col min="5140" max="5140" width="0.86328125" style="96" customWidth="1"/>
    <col min="5141" max="5377" width="11.3984375" style="96"/>
    <col min="5378" max="5378" width="0.86328125" style="96" customWidth="1"/>
    <col min="5379" max="5381" width="16.73046875" style="96" customWidth="1"/>
    <col min="5382" max="5382" width="0.86328125" style="96" customWidth="1"/>
    <col min="5383" max="5383" width="1.73046875" style="96" customWidth="1"/>
    <col min="5384" max="5384" width="0.86328125" style="96" customWidth="1"/>
    <col min="5385" max="5386" width="18.73046875" style="96" customWidth="1"/>
    <col min="5387" max="5387" width="0.86328125" style="96" customWidth="1"/>
    <col min="5388" max="5388" width="3.73046875" style="96" customWidth="1"/>
    <col min="5389" max="5389" width="0.86328125" style="96" customWidth="1"/>
    <col min="5390" max="5390" width="20.73046875" style="96" customWidth="1"/>
    <col min="5391" max="5391" width="0.86328125" style="96" customWidth="1"/>
    <col min="5392" max="5392" width="1.73046875" style="96" customWidth="1"/>
    <col min="5393" max="5393" width="0.86328125" style="96" customWidth="1"/>
    <col min="5394" max="5395" width="16.73046875" style="96" customWidth="1"/>
    <col min="5396" max="5396" width="0.86328125" style="96" customWidth="1"/>
    <col min="5397" max="5633" width="11.3984375" style="96"/>
    <col min="5634" max="5634" width="0.86328125" style="96" customWidth="1"/>
    <col min="5635" max="5637" width="16.73046875" style="96" customWidth="1"/>
    <col min="5638" max="5638" width="0.86328125" style="96" customWidth="1"/>
    <col min="5639" max="5639" width="1.73046875" style="96" customWidth="1"/>
    <col min="5640" max="5640" width="0.86328125" style="96" customWidth="1"/>
    <col min="5641" max="5642" width="18.73046875" style="96" customWidth="1"/>
    <col min="5643" max="5643" width="0.86328125" style="96" customWidth="1"/>
    <col min="5644" max="5644" width="3.73046875" style="96" customWidth="1"/>
    <col min="5645" max="5645" width="0.86328125" style="96" customWidth="1"/>
    <col min="5646" max="5646" width="20.73046875" style="96" customWidth="1"/>
    <col min="5647" max="5647" width="0.86328125" style="96" customWidth="1"/>
    <col min="5648" max="5648" width="1.73046875" style="96" customWidth="1"/>
    <col min="5649" max="5649" width="0.86328125" style="96" customWidth="1"/>
    <col min="5650" max="5651" width="16.73046875" style="96" customWidth="1"/>
    <col min="5652" max="5652" width="0.86328125" style="96" customWidth="1"/>
    <col min="5653" max="5889" width="11.3984375" style="96"/>
    <col min="5890" max="5890" width="0.86328125" style="96" customWidth="1"/>
    <col min="5891" max="5893" width="16.73046875" style="96" customWidth="1"/>
    <col min="5894" max="5894" width="0.86328125" style="96" customWidth="1"/>
    <col min="5895" max="5895" width="1.73046875" style="96" customWidth="1"/>
    <col min="5896" max="5896" width="0.86328125" style="96" customWidth="1"/>
    <col min="5897" max="5898" width="18.73046875" style="96" customWidth="1"/>
    <col min="5899" max="5899" width="0.86328125" style="96" customWidth="1"/>
    <col min="5900" max="5900" width="3.73046875" style="96" customWidth="1"/>
    <col min="5901" max="5901" width="0.86328125" style="96" customWidth="1"/>
    <col min="5902" max="5902" width="20.73046875" style="96" customWidth="1"/>
    <col min="5903" max="5903" width="0.86328125" style="96" customWidth="1"/>
    <col min="5904" max="5904" width="1.73046875" style="96" customWidth="1"/>
    <col min="5905" max="5905" width="0.86328125" style="96" customWidth="1"/>
    <col min="5906" max="5907" width="16.73046875" style="96" customWidth="1"/>
    <col min="5908" max="5908" width="0.86328125" style="96" customWidth="1"/>
    <col min="5909" max="6145" width="11.3984375" style="96"/>
    <col min="6146" max="6146" width="0.86328125" style="96" customWidth="1"/>
    <col min="6147" max="6149" width="16.73046875" style="96" customWidth="1"/>
    <col min="6150" max="6150" width="0.86328125" style="96" customWidth="1"/>
    <col min="6151" max="6151" width="1.73046875" style="96" customWidth="1"/>
    <col min="6152" max="6152" width="0.86328125" style="96" customWidth="1"/>
    <col min="6153" max="6154" width="18.73046875" style="96" customWidth="1"/>
    <col min="6155" max="6155" width="0.86328125" style="96" customWidth="1"/>
    <col min="6156" max="6156" width="3.73046875" style="96" customWidth="1"/>
    <col min="6157" max="6157" width="0.86328125" style="96" customWidth="1"/>
    <col min="6158" max="6158" width="20.73046875" style="96" customWidth="1"/>
    <col min="6159" max="6159" width="0.86328125" style="96" customWidth="1"/>
    <col min="6160" max="6160" width="1.73046875" style="96" customWidth="1"/>
    <col min="6161" max="6161" width="0.86328125" style="96" customWidth="1"/>
    <col min="6162" max="6163" width="16.73046875" style="96" customWidth="1"/>
    <col min="6164" max="6164" width="0.86328125" style="96" customWidth="1"/>
    <col min="6165" max="6401" width="11.3984375" style="96"/>
    <col min="6402" max="6402" width="0.86328125" style="96" customWidth="1"/>
    <col min="6403" max="6405" width="16.73046875" style="96" customWidth="1"/>
    <col min="6406" max="6406" width="0.86328125" style="96" customWidth="1"/>
    <col min="6407" max="6407" width="1.73046875" style="96" customWidth="1"/>
    <col min="6408" max="6408" width="0.86328125" style="96" customWidth="1"/>
    <col min="6409" max="6410" width="18.73046875" style="96" customWidth="1"/>
    <col min="6411" max="6411" width="0.86328125" style="96" customWidth="1"/>
    <col min="6412" max="6412" width="3.73046875" style="96" customWidth="1"/>
    <col min="6413" max="6413" width="0.86328125" style="96" customWidth="1"/>
    <col min="6414" max="6414" width="20.73046875" style="96" customWidth="1"/>
    <col min="6415" max="6415" width="0.86328125" style="96" customWidth="1"/>
    <col min="6416" max="6416" width="1.73046875" style="96" customWidth="1"/>
    <col min="6417" max="6417" width="0.86328125" style="96" customWidth="1"/>
    <col min="6418" max="6419" width="16.73046875" style="96" customWidth="1"/>
    <col min="6420" max="6420" width="0.86328125" style="96" customWidth="1"/>
    <col min="6421" max="6657" width="11.3984375" style="96"/>
    <col min="6658" max="6658" width="0.86328125" style="96" customWidth="1"/>
    <col min="6659" max="6661" width="16.73046875" style="96" customWidth="1"/>
    <col min="6662" max="6662" width="0.86328125" style="96" customWidth="1"/>
    <col min="6663" max="6663" width="1.73046875" style="96" customWidth="1"/>
    <col min="6664" max="6664" width="0.86328125" style="96" customWidth="1"/>
    <col min="6665" max="6666" width="18.73046875" style="96" customWidth="1"/>
    <col min="6667" max="6667" width="0.86328125" style="96" customWidth="1"/>
    <col min="6668" max="6668" width="3.73046875" style="96" customWidth="1"/>
    <col min="6669" max="6669" width="0.86328125" style="96" customWidth="1"/>
    <col min="6670" max="6670" width="20.73046875" style="96" customWidth="1"/>
    <col min="6671" max="6671" width="0.86328125" style="96" customWidth="1"/>
    <col min="6672" max="6672" width="1.73046875" style="96" customWidth="1"/>
    <col min="6673" max="6673" width="0.86328125" style="96" customWidth="1"/>
    <col min="6674" max="6675" width="16.73046875" style="96" customWidth="1"/>
    <col min="6676" max="6676" width="0.86328125" style="96" customWidth="1"/>
    <col min="6677" max="6913" width="11.3984375" style="96"/>
    <col min="6914" max="6914" width="0.86328125" style="96" customWidth="1"/>
    <col min="6915" max="6917" width="16.73046875" style="96" customWidth="1"/>
    <col min="6918" max="6918" width="0.86328125" style="96" customWidth="1"/>
    <col min="6919" max="6919" width="1.73046875" style="96" customWidth="1"/>
    <col min="6920" max="6920" width="0.86328125" style="96" customWidth="1"/>
    <col min="6921" max="6922" width="18.73046875" style="96" customWidth="1"/>
    <col min="6923" max="6923" width="0.86328125" style="96" customWidth="1"/>
    <col min="6924" max="6924" width="3.73046875" style="96" customWidth="1"/>
    <col min="6925" max="6925" width="0.86328125" style="96" customWidth="1"/>
    <col min="6926" max="6926" width="20.73046875" style="96" customWidth="1"/>
    <col min="6927" max="6927" width="0.86328125" style="96" customWidth="1"/>
    <col min="6928" max="6928" width="1.73046875" style="96" customWidth="1"/>
    <col min="6929" max="6929" width="0.86328125" style="96" customWidth="1"/>
    <col min="6930" max="6931" width="16.73046875" style="96" customWidth="1"/>
    <col min="6932" max="6932" width="0.86328125" style="96" customWidth="1"/>
    <col min="6933" max="7169" width="11.3984375" style="96"/>
    <col min="7170" max="7170" width="0.86328125" style="96" customWidth="1"/>
    <col min="7171" max="7173" width="16.73046875" style="96" customWidth="1"/>
    <col min="7174" max="7174" width="0.86328125" style="96" customWidth="1"/>
    <col min="7175" max="7175" width="1.73046875" style="96" customWidth="1"/>
    <col min="7176" max="7176" width="0.86328125" style="96" customWidth="1"/>
    <col min="7177" max="7178" width="18.73046875" style="96" customWidth="1"/>
    <col min="7179" max="7179" width="0.86328125" style="96" customWidth="1"/>
    <col min="7180" max="7180" width="3.73046875" style="96" customWidth="1"/>
    <col min="7181" max="7181" width="0.86328125" style="96" customWidth="1"/>
    <col min="7182" max="7182" width="20.73046875" style="96" customWidth="1"/>
    <col min="7183" max="7183" width="0.86328125" style="96" customWidth="1"/>
    <col min="7184" max="7184" width="1.73046875" style="96" customWidth="1"/>
    <col min="7185" max="7185" width="0.86328125" style="96" customWidth="1"/>
    <col min="7186" max="7187" width="16.73046875" style="96" customWidth="1"/>
    <col min="7188" max="7188" width="0.86328125" style="96" customWidth="1"/>
    <col min="7189" max="7425" width="11.3984375" style="96"/>
    <col min="7426" max="7426" width="0.86328125" style="96" customWidth="1"/>
    <col min="7427" max="7429" width="16.73046875" style="96" customWidth="1"/>
    <col min="7430" max="7430" width="0.86328125" style="96" customWidth="1"/>
    <col min="7431" max="7431" width="1.73046875" style="96" customWidth="1"/>
    <col min="7432" max="7432" width="0.86328125" style="96" customWidth="1"/>
    <col min="7433" max="7434" width="18.73046875" style="96" customWidth="1"/>
    <col min="7435" max="7435" width="0.86328125" style="96" customWidth="1"/>
    <col min="7436" max="7436" width="3.73046875" style="96" customWidth="1"/>
    <col min="7437" max="7437" width="0.86328125" style="96" customWidth="1"/>
    <col min="7438" max="7438" width="20.73046875" style="96" customWidth="1"/>
    <col min="7439" max="7439" width="0.86328125" style="96" customWidth="1"/>
    <col min="7440" max="7440" width="1.73046875" style="96" customWidth="1"/>
    <col min="7441" max="7441" width="0.86328125" style="96" customWidth="1"/>
    <col min="7442" max="7443" width="16.73046875" style="96" customWidth="1"/>
    <col min="7444" max="7444" width="0.86328125" style="96" customWidth="1"/>
    <col min="7445" max="7681" width="11.3984375" style="96"/>
    <col min="7682" max="7682" width="0.86328125" style="96" customWidth="1"/>
    <col min="7683" max="7685" width="16.73046875" style="96" customWidth="1"/>
    <col min="7686" max="7686" width="0.86328125" style="96" customWidth="1"/>
    <col min="7687" max="7687" width="1.73046875" style="96" customWidth="1"/>
    <col min="7688" max="7688" width="0.86328125" style="96" customWidth="1"/>
    <col min="7689" max="7690" width="18.73046875" style="96" customWidth="1"/>
    <col min="7691" max="7691" width="0.86328125" style="96" customWidth="1"/>
    <col min="7692" max="7692" width="3.73046875" style="96" customWidth="1"/>
    <col min="7693" max="7693" width="0.86328125" style="96" customWidth="1"/>
    <col min="7694" max="7694" width="20.73046875" style="96" customWidth="1"/>
    <col min="7695" max="7695" width="0.86328125" style="96" customWidth="1"/>
    <col min="7696" max="7696" width="1.73046875" style="96" customWidth="1"/>
    <col min="7697" max="7697" width="0.86328125" style="96" customWidth="1"/>
    <col min="7698" max="7699" width="16.73046875" style="96" customWidth="1"/>
    <col min="7700" max="7700" width="0.86328125" style="96" customWidth="1"/>
    <col min="7701" max="7937" width="11.3984375" style="96"/>
    <col min="7938" max="7938" width="0.86328125" style="96" customWidth="1"/>
    <col min="7939" max="7941" width="16.73046875" style="96" customWidth="1"/>
    <col min="7942" max="7942" width="0.86328125" style="96" customWidth="1"/>
    <col min="7943" max="7943" width="1.73046875" style="96" customWidth="1"/>
    <col min="7944" max="7944" width="0.86328125" style="96" customWidth="1"/>
    <col min="7945" max="7946" width="18.73046875" style="96" customWidth="1"/>
    <col min="7947" max="7947" width="0.86328125" style="96" customWidth="1"/>
    <col min="7948" max="7948" width="3.73046875" style="96" customWidth="1"/>
    <col min="7949" max="7949" width="0.86328125" style="96" customWidth="1"/>
    <col min="7950" max="7950" width="20.73046875" style="96" customWidth="1"/>
    <col min="7951" max="7951" width="0.86328125" style="96" customWidth="1"/>
    <col min="7952" max="7952" width="1.73046875" style="96" customWidth="1"/>
    <col min="7953" max="7953" width="0.86328125" style="96" customWidth="1"/>
    <col min="7954" max="7955" width="16.73046875" style="96" customWidth="1"/>
    <col min="7956" max="7956" width="0.86328125" style="96" customWidth="1"/>
    <col min="7957" max="8193" width="11.3984375" style="96"/>
    <col min="8194" max="8194" width="0.86328125" style="96" customWidth="1"/>
    <col min="8195" max="8197" width="16.73046875" style="96" customWidth="1"/>
    <col min="8198" max="8198" width="0.86328125" style="96" customWidth="1"/>
    <col min="8199" max="8199" width="1.73046875" style="96" customWidth="1"/>
    <col min="8200" max="8200" width="0.86328125" style="96" customWidth="1"/>
    <col min="8201" max="8202" width="18.73046875" style="96" customWidth="1"/>
    <col min="8203" max="8203" width="0.86328125" style="96" customWidth="1"/>
    <col min="8204" max="8204" width="3.73046875" style="96" customWidth="1"/>
    <col min="8205" max="8205" width="0.86328125" style="96" customWidth="1"/>
    <col min="8206" max="8206" width="20.73046875" style="96" customWidth="1"/>
    <col min="8207" max="8207" width="0.86328125" style="96" customWidth="1"/>
    <col min="8208" max="8208" width="1.73046875" style="96" customWidth="1"/>
    <col min="8209" max="8209" width="0.86328125" style="96" customWidth="1"/>
    <col min="8210" max="8211" width="16.73046875" style="96" customWidth="1"/>
    <col min="8212" max="8212" width="0.86328125" style="96" customWidth="1"/>
    <col min="8213" max="8449" width="11.3984375" style="96"/>
    <col min="8450" max="8450" width="0.86328125" style="96" customWidth="1"/>
    <col min="8451" max="8453" width="16.73046875" style="96" customWidth="1"/>
    <col min="8454" max="8454" width="0.86328125" style="96" customWidth="1"/>
    <col min="8455" max="8455" width="1.73046875" style="96" customWidth="1"/>
    <col min="8456" max="8456" width="0.86328125" style="96" customWidth="1"/>
    <col min="8457" max="8458" width="18.73046875" style="96" customWidth="1"/>
    <col min="8459" max="8459" width="0.86328125" style="96" customWidth="1"/>
    <col min="8460" max="8460" width="3.73046875" style="96" customWidth="1"/>
    <col min="8461" max="8461" width="0.86328125" style="96" customWidth="1"/>
    <col min="8462" max="8462" width="20.73046875" style="96" customWidth="1"/>
    <col min="8463" max="8463" width="0.86328125" style="96" customWidth="1"/>
    <col min="8464" max="8464" width="1.73046875" style="96" customWidth="1"/>
    <col min="8465" max="8465" width="0.86328125" style="96" customWidth="1"/>
    <col min="8466" max="8467" width="16.73046875" style="96" customWidth="1"/>
    <col min="8468" max="8468" width="0.86328125" style="96" customWidth="1"/>
    <col min="8469" max="8705" width="11.3984375" style="96"/>
    <col min="8706" max="8706" width="0.86328125" style="96" customWidth="1"/>
    <col min="8707" max="8709" width="16.73046875" style="96" customWidth="1"/>
    <col min="8710" max="8710" width="0.86328125" style="96" customWidth="1"/>
    <col min="8711" max="8711" width="1.73046875" style="96" customWidth="1"/>
    <col min="8712" max="8712" width="0.86328125" style="96" customWidth="1"/>
    <col min="8713" max="8714" width="18.73046875" style="96" customWidth="1"/>
    <col min="8715" max="8715" width="0.86328125" style="96" customWidth="1"/>
    <col min="8716" max="8716" width="3.73046875" style="96" customWidth="1"/>
    <col min="8717" max="8717" width="0.86328125" style="96" customWidth="1"/>
    <col min="8718" max="8718" width="20.73046875" style="96" customWidth="1"/>
    <col min="8719" max="8719" width="0.86328125" style="96" customWidth="1"/>
    <col min="8720" max="8720" width="1.73046875" style="96" customWidth="1"/>
    <col min="8721" max="8721" width="0.86328125" style="96" customWidth="1"/>
    <col min="8722" max="8723" width="16.73046875" style="96" customWidth="1"/>
    <col min="8724" max="8724" width="0.86328125" style="96" customWidth="1"/>
    <col min="8725" max="8961" width="11.3984375" style="96"/>
    <col min="8962" max="8962" width="0.86328125" style="96" customWidth="1"/>
    <col min="8963" max="8965" width="16.73046875" style="96" customWidth="1"/>
    <col min="8966" max="8966" width="0.86328125" style="96" customWidth="1"/>
    <col min="8967" max="8967" width="1.73046875" style="96" customWidth="1"/>
    <col min="8968" max="8968" width="0.86328125" style="96" customWidth="1"/>
    <col min="8969" max="8970" width="18.73046875" style="96" customWidth="1"/>
    <col min="8971" max="8971" width="0.86328125" style="96" customWidth="1"/>
    <col min="8972" max="8972" width="3.73046875" style="96" customWidth="1"/>
    <col min="8973" max="8973" width="0.86328125" style="96" customWidth="1"/>
    <col min="8974" max="8974" width="20.73046875" style="96" customWidth="1"/>
    <col min="8975" max="8975" width="0.86328125" style="96" customWidth="1"/>
    <col min="8976" max="8976" width="1.73046875" style="96" customWidth="1"/>
    <col min="8977" max="8977" width="0.86328125" style="96" customWidth="1"/>
    <col min="8978" max="8979" width="16.73046875" style="96" customWidth="1"/>
    <col min="8980" max="8980" width="0.86328125" style="96" customWidth="1"/>
    <col min="8981" max="9217" width="11.3984375" style="96"/>
    <col min="9218" max="9218" width="0.86328125" style="96" customWidth="1"/>
    <col min="9219" max="9221" width="16.73046875" style="96" customWidth="1"/>
    <col min="9222" max="9222" width="0.86328125" style="96" customWidth="1"/>
    <col min="9223" max="9223" width="1.73046875" style="96" customWidth="1"/>
    <col min="9224" max="9224" width="0.86328125" style="96" customWidth="1"/>
    <col min="9225" max="9226" width="18.73046875" style="96" customWidth="1"/>
    <col min="9227" max="9227" width="0.86328125" style="96" customWidth="1"/>
    <col min="9228" max="9228" width="3.73046875" style="96" customWidth="1"/>
    <col min="9229" max="9229" width="0.86328125" style="96" customWidth="1"/>
    <col min="9230" max="9230" width="20.73046875" style="96" customWidth="1"/>
    <col min="9231" max="9231" width="0.86328125" style="96" customWidth="1"/>
    <col min="9232" max="9232" width="1.73046875" style="96" customWidth="1"/>
    <col min="9233" max="9233" width="0.86328125" style="96" customWidth="1"/>
    <col min="9234" max="9235" width="16.73046875" style="96" customWidth="1"/>
    <col min="9236" max="9236" width="0.86328125" style="96" customWidth="1"/>
    <col min="9237" max="9473" width="11.3984375" style="96"/>
    <col min="9474" max="9474" width="0.86328125" style="96" customWidth="1"/>
    <col min="9475" max="9477" width="16.73046875" style="96" customWidth="1"/>
    <col min="9478" max="9478" width="0.86328125" style="96" customWidth="1"/>
    <col min="9479" max="9479" width="1.73046875" style="96" customWidth="1"/>
    <col min="9480" max="9480" width="0.86328125" style="96" customWidth="1"/>
    <col min="9481" max="9482" width="18.73046875" style="96" customWidth="1"/>
    <col min="9483" max="9483" width="0.86328125" style="96" customWidth="1"/>
    <col min="9484" max="9484" width="3.73046875" style="96" customWidth="1"/>
    <col min="9485" max="9485" width="0.86328125" style="96" customWidth="1"/>
    <col min="9486" max="9486" width="20.73046875" style="96" customWidth="1"/>
    <col min="9487" max="9487" width="0.86328125" style="96" customWidth="1"/>
    <col min="9488" max="9488" width="1.73046875" style="96" customWidth="1"/>
    <col min="9489" max="9489" width="0.86328125" style="96" customWidth="1"/>
    <col min="9490" max="9491" width="16.73046875" style="96" customWidth="1"/>
    <col min="9492" max="9492" width="0.86328125" style="96" customWidth="1"/>
    <col min="9493" max="9729" width="11.3984375" style="96"/>
    <col min="9730" max="9730" width="0.86328125" style="96" customWidth="1"/>
    <col min="9731" max="9733" width="16.73046875" style="96" customWidth="1"/>
    <col min="9734" max="9734" width="0.86328125" style="96" customWidth="1"/>
    <col min="9735" max="9735" width="1.73046875" style="96" customWidth="1"/>
    <col min="9736" max="9736" width="0.86328125" style="96" customWidth="1"/>
    <col min="9737" max="9738" width="18.73046875" style="96" customWidth="1"/>
    <col min="9739" max="9739" width="0.86328125" style="96" customWidth="1"/>
    <col min="9740" max="9740" width="3.73046875" style="96" customWidth="1"/>
    <col min="9741" max="9741" width="0.86328125" style="96" customWidth="1"/>
    <col min="9742" max="9742" width="20.73046875" style="96" customWidth="1"/>
    <col min="9743" max="9743" width="0.86328125" style="96" customWidth="1"/>
    <col min="9744" max="9744" width="1.73046875" style="96" customWidth="1"/>
    <col min="9745" max="9745" width="0.86328125" style="96" customWidth="1"/>
    <col min="9746" max="9747" width="16.73046875" style="96" customWidth="1"/>
    <col min="9748" max="9748" width="0.86328125" style="96" customWidth="1"/>
    <col min="9749" max="9985" width="11.3984375" style="96"/>
    <col min="9986" max="9986" width="0.86328125" style="96" customWidth="1"/>
    <col min="9987" max="9989" width="16.73046875" style="96" customWidth="1"/>
    <col min="9990" max="9990" width="0.86328125" style="96" customWidth="1"/>
    <col min="9991" max="9991" width="1.73046875" style="96" customWidth="1"/>
    <col min="9992" max="9992" width="0.86328125" style="96" customWidth="1"/>
    <col min="9993" max="9994" width="18.73046875" style="96" customWidth="1"/>
    <col min="9995" max="9995" width="0.86328125" style="96" customWidth="1"/>
    <col min="9996" max="9996" width="3.73046875" style="96" customWidth="1"/>
    <col min="9997" max="9997" width="0.86328125" style="96" customWidth="1"/>
    <col min="9998" max="9998" width="20.73046875" style="96" customWidth="1"/>
    <col min="9999" max="9999" width="0.86328125" style="96" customWidth="1"/>
    <col min="10000" max="10000" width="1.73046875" style="96" customWidth="1"/>
    <col min="10001" max="10001" width="0.86328125" style="96" customWidth="1"/>
    <col min="10002" max="10003" width="16.73046875" style="96" customWidth="1"/>
    <col min="10004" max="10004" width="0.86328125" style="96" customWidth="1"/>
    <col min="10005" max="10241" width="11.3984375" style="96"/>
    <col min="10242" max="10242" width="0.86328125" style="96" customWidth="1"/>
    <col min="10243" max="10245" width="16.73046875" style="96" customWidth="1"/>
    <col min="10246" max="10246" width="0.86328125" style="96" customWidth="1"/>
    <col min="10247" max="10247" width="1.73046875" style="96" customWidth="1"/>
    <col min="10248" max="10248" width="0.86328125" style="96" customWidth="1"/>
    <col min="10249" max="10250" width="18.73046875" style="96" customWidth="1"/>
    <col min="10251" max="10251" width="0.86328125" style="96" customWidth="1"/>
    <col min="10252" max="10252" width="3.73046875" style="96" customWidth="1"/>
    <col min="10253" max="10253" width="0.86328125" style="96" customWidth="1"/>
    <col min="10254" max="10254" width="20.73046875" style="96" customWidth="1"/>
    <col min="10255" max="10255" width="0.86328125" style="96" customWidth="1"/>
    <col min="10256" max="10256" width="1.73046875" style="96" customWidth="1"/>
    <col min="10257" max="10257" width="0.86328125" style="96" customWidth="1"/>
    <col min="10258" max="10259" width="16.73046875" style="96" customWidth="1"/>
    <col min="10260" max="10260" width="0.86328125" style="96" customWidth="1"/>
    <col min="10261" max="10497" width="11.3984375" style="96"/>
    <col min="10498" max="10498" width="0.86328125" style="96" customWidth="1"/>
    <col min="10499" max="10501" width="16.73046875" style="96" customWidth="1"/>
    <col min="10502" max="10502" width="0.86328125" style="96" customWidth="1"/>
    <col min="10503" max="10503" width="1.73046875" style="96" customWidth="1"/>
    <col min="10504" max="10504" width="0.86328125" style="96" customWidth="1"/>
    <col min="10505" max="10506" width="18.73046875" style="96" customWidth="1"/>
    <col min="10507" max="10507" width="0.86328125" style="96" customWidth="1"/>
    <col min="10508" max="10508" width="3.73046875" style="96" customWidth="1"/>
    <col min="10509" max="10509" width="0.86328125" style="96" customWidth="1"/>
    <col min="10510" max="10510" width="20.73046875" style="96" customWidth="1"/>
    <col min="10511" max="10511" width="0.86328125" style="96" customWidth="1"/>
    <col min="10512" max="10512" width="1.73046875" style="96" customWidth="1"/>
    <col min="10513" max="10513" width="0.86328125" style="96" customWidth="1"/>
    <col min="10514" max="10515" width="16.73046875" style="96" customWidth="1"/>
    <col min="10516" max="10516" width="0.86328125" style="96" customWidth="1"/>
    <col min="10517" max="10753" width="11.3984375" style="96"/>
    <col min="10754" max="10754" width="0.86328125" style="96" customWidth="1"/>
    <col min="10755" max="10757" width="16.73046875" style="96" customWidth="1"/>
    <col min="10758" max="10758" width="0.86328125" style="96" customWidth="1"/>
    <col min="10759" max="10759" width="1.73046875" style="96" customWidth="1"/>
    <col min="10760" max="10760" width="0.86328125" style="96" customWidth="1"/>
    <col min="10761" max="10762" width="18.73046875" style="96" customWidth="1"/>
    <col min="10763" max="10763" width="0.86328125" style="96" customWidth="1"/>
    <col min="10764" max="10764" width="3.73046875" style="96" customWidth="1"/>
    <col min="10765" max="10765" width="0.86328125" style="96" customWidth="1"/>
    <col min="10766" max="10766" width="20.73046875" style="96" customWidth="1"/>
    <col min="10767" max="10767" width="0.86328125" style="96" customWidth="1"/>
    <col min="10768" max="10768" width="1.73046875" style="96" customWidth="1"/>
    <col min="10769" max="10769" width="0.86328125" style="96" customWidth="1"/>
    <col min="10770" max="10771" width="16.73046875" style="96" customWidth="1"/>
    <col min="10772" max="10772" width="0.86328125" style="96" customWidth="1"/>
    <col min="10773" max="11009" width="11.3984375" style="96"/>
    <col min="11010" max="11010" width="0.86328125" style="96" customWidth="1"/>
    <col min="11011" max="11013" width="16.73046875" style="96" customWidth="1"/>
    <col min="11014" max="11014" width="0.86328125" style="96" customWidth="1"/>
    <col min="11015" max="11015" width="1.73046875" style="96" customWidth="1"/>
    <col min="11016" max="11016" width="0.86328125" style="96" customWidth="1"/>
    <col min="11017" max="11018" width="18.73046875" style="96" customWidth="1"/>
    <col min="11019" max="11019" width="0.86328125" style="96" customWidth="1"/>
    <col min="11020" max="11020" width="3.73046875" style="96" customWidth="1"/>
    <col min="11021" max="11021" width="0.86328125" style="96" customWidth="1"/>
    <col min="11022" max="11022" width="20.73046875" style="96" customWidth="1"/>
    <col min="11023" max="11023" width="0.86328125" style="96" customWidth="1"/>
    <col min="11024" max="11024" width="1.73046875" style="96" customWidth="1"/>
    <col min="11025" max="11025" width="0.86328125" style="96" customWidth="1"/>
    <col min="11026" max="11027" width="16.73046875" style="96" customWidth="1"/>
    <col min="11028" max="11028" width="0.86328125" style="96" customWidth="1"/>
    <col min="11029" max="11265" width="11.3984375" style="96"/>
    <col min="11266" max="11266" width="0.86328125" style="96" customWidth="1"/>
    <col min="11267" max="11269" width="16.73046875" style="96" customWidth="1"/>
    <col min="11270" max="11270" width="0.86328125" style="96" customWidth="1"/>
    <col min="11271" max="11271" width="1.73046875" style="96" customWidth="1"/>
    <col min="11272" max="11272" width="0.86328125" style="96" customWidth="1"/>
    <col min="11273" max="11274" width="18.73046875" style="96" customWidth="1"/>
    <col min="11275" max="11275" width="0.86328125" style="96" customWidth="1"/>
    <col min="11276" max="11276" width="3.73046875" style="96" customWidth="1"/>
    <col min="11277" max="11277" width="0.86328125" style="96" customWidth="1"/>
    <col min="11278" max="11278" width="20.73046875" style="96" customWidth="1"/>
    <col min="11279" max="11279" width="0.86328125" style="96" customWidth="1"/>
    <col min="11280" max="11280" width="1.73046875" style="96" customWidth="1"/>
    <col min="11281" max="11281" width="0.86328125" style="96" customWidth="1"/>
    <col min="11282" max="11283" width="16.73046875" style="96" customWidth="1"/>
    <col min="11284" max="11284" width="0.86328125" style="96" customWidth="1"/>
    <col min="11285" max="11521" width="11.3984375" style="96"/>
    <col min="11522" max="11522" width="0.86328125" style="96" customWidth="1"/>
    <col min="11523" max="11525" width="16.73046875" style="96" customWidth="1"/>
    <col min="11526" max="11526" width="0.86328125" style="96" customWidth="1"/>
    <col min="11527" max="11527" width="1.73046875" style="96" customWidth="1"/>
    <col min="11528" max="11528" width="0.86328125" style="96" customWidth="1"/>
    <col min="11529" max="11530" width="18.73046875" style="96" customWidth="1"/>
    <col min="11531" max="11531" width="0.86328125" style="96" customWidth="1"/>
    <col min="11532" max="11532" width="3.73046875" style="96" customWidth="1"/>
    <col min="11533" max="11533" width="0.86328125" style="96" customWidth="1"/>
    <col min="11534" max="11534" width="20.73046875" style="96" customWidth="1"/>
    <col min="11535" max="11535" width="0.86328125" style="96" customWidth="1"/>
    <col min="11536" max="11536" width="1.73046875" style="96" customWidth="1"/>
    <col min="11537" max="11537" width="0.86328125" style="96" customWidth="1"/>
    <col min="11538" max="11539" width="16.73046875" style="96" customWidth="1"/>
    <col min="11540" max="11540" width="0.86328125" style="96" customWidth="1"/>
    <col min="11541" max="11777" width="11.3984375" style="96"/>
    <col min="11778" max="11778" width="0.86328125" style="96" customWidth="1"/>
    <col min="11779" max="11781" width="16.73046875" style="96" customWidth="1"/>
    <col min="11782" max="11782" width="0.86328125" style="96" customWidth="1"/>
    <col min="11783" max="11783" width="1.73046875" style="96" customWidth="1"/>
    <col min="11784" max="11784" width="0.86328125" style="96" customWidth="1"/>
    <col min="11785" max="11786" width="18.73046875" style="96" customWidth="1"/>
    <col min="11787" max="11787" width="0.86328125" style="96" customWidth="1"/>
    <col min="11788" max="11788" width="3.73046875" style="96" customWidth="1"/>
    <col min="11789" max="11789" width="0.86328125" style="96" customWidth="1"/>
    <col min="11790" max="11790" width="20.73046875" style="96" customWidth="1"/>
    <col min="11791" max="11791" width="0.86328125" style="96" customWidth="1"/>
    <col min="11792" max="11792" width="1.73046875" style="96" customWidth="1"/>
    <col min="11793" max="11793" width="0.86328125" style="96" customWidth="1"/>
    <col min="11794" max="11795" width="16.73046875" style="96" customWidth="1"/>
    <col min="11796" max="11796" width="0.86328125" style="96" customWidth="1"/>
    <col min="11797" max="12033" width="11.3984375" style="96"/>
    <col min="12034" max="12034" width="0.86328125" style="96" customWidth="1"/>
    <col min="12035" max="12037" width="16.73046875" style="96" customWidth="1"/>
    <col min="12038" max="12038" width="0.86328125" style="96" customWidth="1"/>
    <col min="12039" max="12039" width="1.73046875" style="96" customWidth="1"/>
    <col min="12040" max="12040" width="0.86328125" style="96" customWidth="1"/>
    <col min="12041" max="12042" width="18.73046875" style="96" customWidth="1"/>
    <col min="12043" max="12043" width="0.86328125" style="96" customWidth="1"/>
    <col min="12044" max="12044" width="3.73046875" style="96" customWidth="1"/>
    <col min="12045" max="12045" width="0.86328125" style="96" customWidth="1"/>
    <col min="12046" max="12046" width="20.73046875" style="96" customWidth="1"/>
    <col min="12047" max="12047" width="0.86328125" style="96" customWidth="1"/>
    <col min="12048" max="12048" width="1.73046875" style="96" customWidth="1"/>
    <col min="12049" max="12049" width="0.86328125" style="96" customWidth="1"/>
    <col min="12050" max="12051" width="16.73046875" style="96" customWidth="1"/>
    <col min="12052" max="12052" width="0.86328125" style="96" customWidth="1"/>
    <col min="12053" max="12289" width="11.3984375" style="96"/>
    <col min="12290" max="12290" width="0.86328125" style="96" customWidth="1"/>
    <col min="12291" max="12293" width="16.73046875" style="96" customWidth="1"/>
    <col min="12294" max="12294" width="0.86328125" style="96" customWidth="1"/>
    <col min="12295" max="12295" width="1.73046875" style="96" customWidth="1"/>
    <col min="12296" max="12296" width="0.86328125" style="96" customWidth="1"/>
    <col min="12297" max="12298" width="18.73046875" style="96" customWidth="1"/>
    <col min="12299" max="12299" width="0.86328125" style="96" customWidth="1"/>
    <col min="12300" max="12300" width="3.73046875" style="96" customWidth="1"/>
    <col min="12301" max="12301" width="0.86328125" style="96" customWidth="1"/>
    <col min="12302" max="12302" width="20.73046875" style="96" customWidth="1"/>
    <col min="12303" max="12303" width="0.86328125" style="96" customWidth="1"/>
    <col min="12304" max="12304" width="1.73046875" style="96" customWidth="1"/>
    <col min="12305" max="12305" width="0.86328125" style="96" customWidth="1"/>
    <col min="12306" max="12307" width="16.73046875" style="96" customWidth="1"/>
    <col min="12308" max="12308" width="0.86328125" style="96" customWidth="1"/>
    <col min="12309" max="12545" width="11.3984375" style="96"/>
    <col min="12546" max="12546" width="0.86328125" style="96" customWidth="1"/>
    <col min="12547" max="12549" width="16.73046875" style="96" customWidth="1"/>
    <col min="12550" max="12550" width="0.86328125" style="96" customWidth="1"/>
    <col min="12551" max="12551" width="1.73046875" style="96" customWidth="1"/>
    <col min="12552" max="12552" width="0.86328125" style="96" customWidth="1"/>
    <col min="12553" max="12554" width="18.73046875" style="96" customWidth="1"/>
    <col min="12555" max="12555" width="0.86328125" style="96" customWidth="1"/>
    <col min="12556" max="12556" width="3.73046875" style="96" customWidth="1"/>
    <col min="12557" max="12557" width="0.86328125" style="96" customWidth="1"/>
    <col min="12558" max="12558" width="20.73046875" style="96" customWidth="1"/>
    <col min="12559" max="12559" width="0.86328125" style="96" customWidth="1"/>
    <col min="12560" max="12560" width="1.73046875" style="96" customWidth="1"/>
    <col min="12561" max="12561" width="0.86328125" style="96" customWidth="1"/>
    <col min="12562" max="12563" width="16.73046875" style="96" customWidth="1"/>
    <col min="12564" max="12564" width="0.86328125" style="96" customWidth="1"/>
    <col min="12565" max="12801" width="11.3984375" style="96"/>
    <col min="12802" max="12802" width="0.86328125" style="96" customWidth="1"/>
    <col min="12803" max="12805" width="16.73046875" style="96" customWidth="1"/>
    <col min="12806" max="12806" width="0.86328125" style="96" customWidth="1"/>
    <col min="12807" max="12807" width="1.73046875" style="96" customWidth="1"/>
    <col min="12808" max="12808" width="0.86328125" style="96" customWidth="1"/>
    <col min="12809" max="12810" width="18.73046875" style="96" customWidth="1"/>
    <col min="12811" max="12811" width="0.86328125" style="96" customWidth="1"/>
    <col min="12812" max="12812" width="3.73046875" style="96" customWidth="1"/>
    <col min="12813" max="12813" width="0.86328125" style="96" customWidth="1"/>
    <col min="12814" max="12814" width="20.73046875" style="96" customWidth="1"/>
    <col min="12815" max="12815" width="0.86328125" style="96" customWidth="1"/>
    <col min="12816" max="12816" width="1.73046875" style="96" customWidth="1"/>
    <col min="12817" max="12817" width="0.86328125" style="96" customWidth="1"/>
    <col min="12818" max="12819" width="16.73046875" style="96" customWidth="1"/>
    <col min="12820" max="12820" width="0.86328125" style="96" customWidth="1"/>
    <col min="12821" max="13057" width="11.3984375" style="96"/>
    <col min="13058" max="13058" width="0.86328125" style="96" customWidth="1"/>
    <col min="13059" max="13061" width="16.73046875" style="96" customWidth="1"/>
    <col min="13062" max="13062" width="0.86328125" style="96" customWidth="1"/>
    <col min="13063" max="13063" width="1.73046875" style="96" customWidth="1"/>
    <col min="13064" max="13064" width="0.86328125" style="96" customWidth="1"/>
    <col min="13065" max="13066" width="18.73046875" style="96" customWidth="1"/>
    <col min="13067" max="13067" width="0.86328125" style="96" customWidth="1"/>
    <col min="13068" max="13068" width="3.73046875" style="96" customWidth="1"/>
    <col min="13069" max="13069" width="0.86328125" style="96" customWidth="1"/>
    <col min="13070" max="13070" width="20.73046875" style="96" customWidth="1"/>
    <col min="13071" max="13071" width="0.86328125" style="96" customWidth="1"/>
    <col min="13072" max="13072" width="1.73046875" style="96" customWidth="1"/>
    <col min="13073" max="13073" width="0.86328125" style="96" customWidth="1"/>
    <col min="13074" max="13075" width="16.73046875" style="96" customWidth="1"/>
    <col min="13076" max="13076" width="0.86328125" style="96" customWidth="1"/>
    <col min="13077" max="13313" width="11.3984375" style="96"/>
    <col min="13314" max="13314" width="0.86328125" style="96" customWidth="1"/>
    <col min="13315" max="13317" width="16.73046875" style="96" customWidth="1"/>
    <col min="13318" max="13318" width="0.86328125" style="96" customWidth="1"/>
    <col min="13319" max="13319" width="1.73046875" style="96" customWidth="1"/>
    <col min="13320" max="13320" width="0.86328125" style="96" customWidth="1"/>
    <col min="13321" max="13322" width="18.73046875" style="96" customWidth="1"/>
    <col min="13323" max="13323" width="0.86328125" style="96" customWidth="1"/>
    <col min="13324" max="13324" width="3.73046875" style="96" customWidth="1"/>
    <col min="13325" max="13325" width="0.86328125" style="96" customWidth="1"/>
    <col min="13326" max="13326" width="20.73046875" style="96" customWidth="1"/>
    <col min="13327" max="13327" width="0.86328125" style="96" customWidth="1"/>
    <col min="13328" max="13328" width="1.73046875" style="96" customWidth="1"/>
    <col min="13329" max="13329" width="0.86328125" style="96" customWidth="1"/>
    <col min="13330" max="13331" width="16.73046875" style="96" customWidth="1"/>
    <col min="13332" max="13332" width="0.86328125" style="96" customWidth="1"/>
    <col min="13333" max="13569" width="11.3984375" style="96"/>
    <col min="13570" max="13570" width="0.86328125" style="96" customWidth="1"/>
    <col min="13571" max="13573" width="16.73046875" style="96" customWidth="1"/>
    <col min="13574" max="13574" width="0.86328125" style="96" customWidth="1"/>
    <col min="13575" max="13575" width="1.73046875" style="96" customWidth="1"/>
    <col min="13576" max="13576" width="0.86328125" style="96" customWidth="1"/>
    <col min="13577" max="13578" width="18.73046875" style="96" customWidth="1"/>
    <col min="13579" max="13579" width="0.86328125" style="96" customWidth="1"/>
    <col min="13580" max="13580" width="3.73046875" style="96" customWidth="1"/>
    <col min="13581" max="13581" width="0.86328125" style="96" customWidth="1"/>
    <col min="13582" max="13582" width="20.73046875" style="96" customWidth="1"/>
    <col min="13583" max="13583" width="0.86328125" style="96" customWidth="1"/>
    <col min="13584" max="13584" width="1.73046875" style="96" customWidth="1"/>
    <col min="13585" max="13585" width="0.86328125" style="96" customWidth="1"/>
    <col min="13586" max="13587" width="16.73046875" style="96" customWidth="1"/>
    <col min="13588" max="13588" width="0.86328125" style="96" customWidth="1"/>
    <col min="13589" max="13825" width="11.3984375" style="96"/>
    <col min="13826" max="13826" width="0.86328125" style="96" customWidth="1"/>
    <col min="13827" max="13829" width="16.73046875" style="96" customWidth="1"/>
    <col min="13830" max="13830" width="0.86328125" style="96" customWidth="1"/>
    <col min="13831" max="13831" width="1.73046875" style="96" customWidth="1"/>
    <col min="13832" max="13832" width="0.86328125" style="96" customWidth="1"/>
    <col min="13833" max="13834" width="18.73046875" style="96" customWidth="1"/>
    <col min="13835" max="13835" width="0.86328125" style="96" customWidth="1"/>
    <col min="13836" max="13836" width="3.73046875" style="96" customWidth="1"/>
    <col min="13837" max="13837" width="0.86328125" style="96" customWidth="1"/>
    <col min="13838" max="13838" width="20.73046875" style="96" customWidth="1"/>
    <col min="13839" max="13839" width="0.86328125" style="96" customWidth="1"/>
    <col min="13840" max="13840" width="1.73046875" style="96" customWidth="1"/>
    <col min="13841" max="13841" width="0.86328125" style="96" customWidth="1"/>
    <col min="13842" max="13843" width="16.73046875" style="96" customWidth="1"/>
    <col min="13844" max="13844" width="0.86328125" style="96" customWidth="1"/>
    <col min="13845" max="14081" width="11.3984375" style="96"/>
    <col min="14082" max="14082" width="0.86328125" style="96" customWidth="1"/>
    <col min="14083" max="14085" width="16.73046875" style="96" customWidth="1"/>
    <col min="14086" max="14086" width="0.86328125" style="96" customWidth="1"/>
    <col min="14087" max="14087" width="1.73046875" style="96" customWidth="1"/>
    <col min="14088" max="14088" width="0.86328125" style="96" customWidth="1"/>
    <col min="14089" max="14090" width="18.73046875" style="96" customWidth="1"/>
    <col min="14091" max="14091" width="0.86328125" style="96" customWidth="1"/>
    <col min="14092" max="14092" width="3.73046875" style="96" customWidth="1"/>
    <col min="14093" max="14093" width="0.86328125" style="96" customWidth="1"/>
    <col min="14094" max="14094" width="20.73046875" style="96" customWidth="1"/>
    <col min="14095" max="14095" width="0.86328125" style="96" customWidth="1"/>
    <col min="14096" max="14096" width="1.73046875" style="96" customWidth="1"/>
    <col min="14097" max="14097" width="0.86328125" style="96" customWidth="1"/>
    <col min="14098" max="14099" width="16.73046875" style="96" customWidth="1"/>
    <col min="14100" max="14100" width="0.86328125" style="96" customWidth="1"/>
    <col min="14101" max="14337" width="11.3984375" style="96"/>
    <col min="14338" max="14338" width="0.86328125" style="96" customWidth="1"/>
    <col min="14339" max="14341" width="16.73046875" style="96" customWidth="1"/>
    <col min="14342" max="14342" width="0.86328125" style="96" customWidth="1"/>
    <col min="14343" max="14343" width="1.73046875" style="96" customWidth="1"/>
    <col min="14344" max="14344" width="0.86328125" style="96" customWidth="1"/>
    <col min="14345" max="14346" width="18.73046875" style="96" customWidth="1"/>
    <col min="14347" max="14347" width="0.86328125" style="96" customWidth="1"/>
    <col min="14348" max="14348" width="3.73046875" style="96" customWidth="1"/>
    <col min="14349" max="14349" width="0.86328125" style="96" customWidth="1"/>
    <col min="14350" max="14350" width="20.73046875" style="96" customWidth="1"/>
    <col min="14351" max="14351" width="0.86328125" style="96" customWidth="1"/>
    <col min="14352" max="14352" width="1.73046875" style="96" customWidth="1"/>
    <col min="14353" max="14353" width="0.86328125" style="96" customWidth="1"/>
    <col min="14354" max="14355" width="16.73046875" style="96" customWidth="1"/>
    <col min="14356" max="14356" width="0.86328125" style="96" customWidth="1"/>
    <col min="14357" max="14593" width="11.3984375" style="96"/>
    <col min="14594" max="14594" width="0.86328125" style="96" customWidth="1"/>
    <col min="14595" max="14597" width="16.73046875" style="96" customWidth="1"/>
    <col min="14598" max="14598" width="0.86328125" style="96" customWidth="1"/>
    <col min="14599" max="14599" width="1.73046875" style="96" customWidth="1"/>
    <col min="14600" max="14600" width="0.86328125" style="96" customWidth="1"/>
    <col min="14601" max="14602" width="18.73046875" style="96" customWidth="1"/>
    <col min="14603" max="14603" width="0.86328125" style="96" customWidth="1"/>
    <col min="14604" max="14604" width="3.73046875" style="96" customWidth="1"/>
    <col min="14605" max="14605" width="0.86328125" style="96" customWidth="1"/>
    <col min="14606" max="14606" width="20.73046875" style="96" customWidth="1"/>
    <col min="14607" max="14607" width="0.86328125" style="96" customWidth="1"/>
    <col min="14608" max="14608" width="1.73046875" style="96" customWidth="1"/>
    <col min="14609" max="14609" width="0.86328125" style="96" customWidth="1"/>
    <col min="14610" max="14611" width="16.73046875" style="96" customWidth="1"/>
    <col min="14612" max="14612" width="0.86328125" style="96" customWidth="1"/>
    <col min="14613" max="14849" width="11.3984375" style="96"/>
    <col min="14850" max="14850" width="0.86328125" style="96" customWidth="1"/>
    <col min="14851" max="14853" width="16.73046875" style="96" customWidth="1"/>
    <col min="14854" max="14854" width="0.86328125" style="96" customWidth="1"/>
    <col min="14855" max="14855" width="1.73046875" style="96" customWidth="1"/>
    <col min="14856" max="14856" width="0.86328125" style="96" customWidth="1"/>
    <col min="14857" max="14858" width="18.73046875" style="96" customWidth="1"/>
    <col min="14859" max="14859" width="0.86328125" style="96" customWidth="1"/>
    <col min="14860" max="14860" width="3.73046875" style="96" customWidth="1"/>
    <col min="14861" max="14861" width="0.86328125" style="96" customWidth="1"/>
    <col min="14862" max="14862" width="20.73046875" style="96" customWidth="1"/>
    <col min="14863" max="14863" width="0.86328125" style="96" customWidth="1"/>
    <col min="14864" max="14864" width="1.73046875" style="96" customWidth="1"/>
    <col min="14865" max="14865" width="0.86328125" style="96" customWidth="1"/>
    <col min="14866" max="14867" width="16.73046875" style="96" customWidth="1"/>
    <col min="14868" max="14868" width="0.86328125" style="96" customWidth="1"/>
    <col min="14869" max="15105" width="11.3984375" style="96"/>
    <col min="15106" max="15106" width="0.86328125" style="96" customWidth="1"/>
    <col min="15107" max="15109" width="16.73046875" style="96" customWidth="1"/>
    <col min="15110" max="15110" width="0.86328125" style="96" customWidth="1"/>
    <col min="15111" max="15111" width="1.73046875" style="96" customWidth="1"/>
    <col min="15112" max="15112" width="0.86328125" style="96" customWidth="1"/>
    <col min="15113" max="15114" width="18.73046875" style="96" customWidth="1"/>
    <col min="15115" max="15115" width="0.86328125" style="96" customWidth="1"/>
    <col min="15116" max="15116" width="3.73046875" style="96" customWidth="1"/>
    <col min="15117" max="15117" width="0.86328125" style="96" customWidth="1"/>
    <col min="15118" max="15118" width="20.73046875" style="96" customWidth="1"/>
    <col min="15119" max="15119" width="0.86328125" style="96" customWidth="1"/>
    <col min="15120" max="15120" width="1.73046875" style="96" customWidth="1"/>
    <col min="15121" max="15121" width="0.86328125" style="96" customWidth="1"/>
    <col min="15122" max="15123" width="16.73046875" style="96" customWidth="1"/>
    <col min="15124" max="15124" width="0.86328125" style="96" customWidth="1"/>
    <col min="15125" max="15361" width="11.3984375" style="96"/>
    <col min="15362" max="15362" width="0.86328125" style="96" customWidth="1"/>
    <col min="15363" max="15365" width="16.73046875" style="96" customWidth="1"/>
    <col min="15366" max="15366" width="0.86328125" style="96" customWidth="1"/>
    <col min="15367" max="15367" width="1.73046875" style="96" customWidth="1"/>
    <col min="15368" max="15368" width="0.86328125" style="96" customWidth="1"/>
    <col min="15369" max="15370" width="18.73046875" style="96" customWidth="1"/>
    <col min="15371" max="15371" width="0.86328125" style="96" customWidth="1"/>
    <col min="15372" max="15372" width="3.73046875" style="96" customWidth="1"/>
    <col min="15373" max="15373" width="0.86328125" style="96" customWidth="1"/>
    <col min="15374" max="15374" width="20.73046875" style="96" customWidth="1"/>
    <col min="15375" max="15375" width="0.86328125" style="96" customWidth="1"/>
    <col min="15376" max="15376" width="1.73046875" style="96" customWidth="1"/>
    <col min="15377" max="15377" width="0.86328125" style="96" customWidth="1"/>
    <col min="15378" max="15379" width="16.73046875" style="96" customWidth="1"/>
    <col min="15380" max="15380" width="0.86328125" style="96" customWidth="1"/>
    <col min="15381" max="15617" width="11.3984375" style="96"/>
    <col min="15618" max="15618" width="0.86328125" style="96" customWidth="1"/>
    <col min="15619" max="15621" width="16.73046875" style="96" customWidth="1"/>
    <col min="15622" max="15622" width="0.86328125" style="96" customWidth="1"/>
    <col min="15623" max="15623" width="1.73046875" style="96" customWidth="1"/>
    <col min="15624" max="15624" width="0.86328125" style="96" customWidth="1"/>
    <col min="15625" max="15626" width="18.73046875" style="96" customWidth="1"/>
    <col min="15627" max="15627" width="0.86328125" style="96" customWidth="1"/>
    <col min="15628" max="15628" width="3.73046875" style="96" customWidth="1"/>
    <col min="15629" max="15629" width="0.86328125" style="96" customWidth="1"/>
    <col min="15630" max="15630" width="20.73046875" style="96" customWidth="1"/>
    <col min="15631" max="15631" width="0.86328125" style="96" customWidth="1"/>
    <col min="15632" max="15632" width="1.73046875" style="96" customWidth="1"/>
    <col min="15633" max="15633" width="0.86328125" style="96" customWidth="1"/>
    <col min="15634" max="15635" width="16.73046875" style="96" customWidth="1"/>
    <col min="15636" max="15636" width="0.86328125" style="96" customWidth="1"/>
    <col min="15637" max="15873" width="11.3984375" style="96"/>
    <col min="15874" max="15874" width="0.86328125" style="96" customWidth="1"/>
    <col min="15875" max="15877" width="16.73046875" style="96" customWidth="1"/>
    <col min="15878" max="15878" width="0.86328125" style="96" customWidth="1"/>
    <col min="15879" max="15879" width="1.73046875" style="96" customWidth="1"/>
    <col min="15880" max="15880" width="0.86328125" style="96" customWidth="1"/>
    <col min="15881" max="15882" width="18.73046875" style="96" customWidth="1"/>
    <col min="15883" max="15883" width="0.86328125" style="96" customWidth="1"/>
    <col min="15884" max="15884" width="3.73046875" style="96" customWidth="1"/>
    <col min="15885" max="15885" width="0.86328125" style="96" customWidth="1"/>
    <col min="15886" max="15886" width="20.73046875" style="96" customWidth="1"/>
    <col min="15887" max="15887" width="0.86328125" style="96" customWidth="1"/>
    <col min="15888" max="15888" width="1.73046875" style="96" customWidth="1"/>
    <col min="15889" max="15889" width="0.86328125" style="96" customWidth="1"/>
    <col min="15890" max="15891" width="16.73046875" style="96" customWidth="1"/>
    <col min="15892" max="15892" width="0.86328125" style="96" customWidth="1"/>
    <col min="15893" max="16129" width="11.3984375" style="96"/>
    <col min="16130" max="16130" width="0.86328125" style="96" customWidth="1"/>
    <col min="16131" max="16133" width="16.73046875" style="96" customWidth="1"/>
    <col min="16134" max="16134" width="0.86328125" style="96" customWidth="1"/>
    <col min="16135" max="16135" width="1.73046875" style="96" customWidth="1"/>
    <col min="16136" max="16136" width="0.86328125" style="96" customWidth="1"/>
    <col min="16137" max="16138" width="18.73046875" style="96" customWidth="1"/>
    <col min="16139" max="16139" width="0.86328125" style="96" customWidth="1"/>
    <col min="16140" max="16140" width="3.73046875" style="96" customWidth="1"/>
    <col min="16141" max="16141" width="0.86328125" style="96" customWidth="1"/>
    <col min="16142" max="16142" width="20.73046875" style="96" customWidth="1"/>
    <col min="16143" max="16143" width="0.86328125" style="96" customWidth="1"/>
    <col min="16144" max="16144" width="1.73046875" style="96" customWidth="1"/>
    <col min="16145" max="16145" width="0.86328125" style="96" customWidth="1"/>
    <col min="16146" max="16147" width="16.73046875" style="96" customWidth="1"/>
    <col min="16148" max="16148" width="0.86328125" style="96" customWidth="1"/>
    <col min="16149" max="16384" width="11.3984375" style="96"/>
  </cols>
  <sheetData>
    <row r="1" spans="1:21" ht="5.0999999999999996" customHeight="1" thickBot="1" x14ac:dyDescent="0.4">
      <c r="B1" s="111"/>
      <c r="C1" s="111"/>
      <c r="D1" s="111"/>
      <c r="E1" s="111"/>
      <c r="F1" s="111"/>
      <c r="G1" s="111"/>
      <c r="H1" s="111"/>
      <c r="I1" s="111"/>
      <c r="J1" s="111"/>
      <c r="K1" s="111"/>
      <c r="L1" s="111"/>
      <c r="M1" s="111"/>
      <c r="N1" s="111"/>
      <c r="O1" s="111"/>
      <c r="P1" s="111"/>
      <c r="Q1" s="111"/>
      <c r="R1" s="111"/>
      <c r="S1" s="111"/>
      <c r="T1" s="111"/>
    </row>
    <row r="2" spans="1:21" ht="5.0999999999999996" customHeight="1" x14ac:dyDescent="0.35">
      <c r="A2" s="117"/>
      <c r="B2" s="200"/>
      <c r="C2" s="201"/>
      <c r="D2" s="201"/>
      <c r="E2" s="201"/>
      <c r="F2" s="201"/>
      <c r="G2" s="201"/>
      <c r="H2" s="201"/>
      <c r="I2" s="201"/>
      <c r="J2" s="201"/>
      <c r="K2" s="201"/>
      <c r="L2" s="201"/>
      <c r="M2" s="201"/>
      <c r="N2" s="201"/>
      <c r="O2" s="201"/>
      <c r="P2" s="201"/>
      <c r="Q2" s="201"/>
      <c r="R2" s="201"/>
      <c r="S2" s="201"/>
      <c r="T2" s="202"/>
      <c r="U2" s="118"/>
    </row>
    <row r="3" spans="1:21" ht="24.95" customHeight="1" x14ac:dyDescent="0.35">
      <c r="A3" s="117"/>
      <c r="B3" s="203" t="s">
        <v>37</v>
      </c>
      <c r="C3" s="204"/>
      <c r="D3" s="204"/>
      <c r="E3" s="204"/>
      <c r="F3" s="204"/>
      <c r="G3" s="204"/>
      <c r="H3" s="204"/>
      <c r="I3" s="204"/>
      <c r="J3" s="204"/>
      <c r="K3" s="204"/>
      <c r="L3" s="204"/>
      <c r="M3" s="204"/>
      <c r="N3" s="204"/>
      <c r="O3" s="204"/>
      <c r="P3" s="204"/>
      <c r="Q3" s="204"/>
      <c r="R3" s="204"/>
      <c r="S3" s="204"/>
      <c r="T3" s="205"/>
      <c r="U3" s="118"/>
    </row>
    <row r="4" spans="1:21" ht="5.0999999999999996" customHeight="1" thickBot="1" x14ac:dyDescent="0.4">
      <c r="A4" s="117"/>
      <c r="B4" s="206"/>
      <c r="C4" s="207"/>
      <c r="D4" s="207"/>
      <c r="E4" s="207"/>
      <c r="F4" s="207"/>
      <c r="G4" s="207"/>
      <c r="H4" s="207"/>
      <c r="I4" s="207"/>
      <c r="J4" s="207"/>
      <c r="K4" s="207"/>
      <c r="L4" s="207"/>
      <c r="M4" s="207"/>
      <c r="N4" s="207"/>
      <c r="O4" s="207"/>
      <c r="P4" s="207"/>
      <c r="Q4" s="207"/>
      <c r="R4" s="207"/>
      <c r="S4" s="207"/>
      <c r="T4" s="208"/>
      <c r="U4" s="118"/>
    </row>
    <row r="5" spans="1:21" ht="5.0999999999999996" customHeight="1" x14ac:dyDescent="0.35">
      <c r="B5" s="119"/>
      <c r="C5" s="119"/>
      <c r="D5" s="110"/>
      <c r="E5" s="110"/>
      <c r="F5" s="110"/>
      <c r="G5" s="110"/>
      <c r="H5" s="110"/>
      <c r="I5" s="110"/>
      <c r="J5" s="110"/>
      <c r="K5" s="110"/>
      <c r="L5" s="110"/>
      <c r="M5" s="110"/>
      <c r="N5" s="110"/>
      <c r="O5" s="110"/>
      <c r="P5" s="110"/>
      <c r="Q5" s="110"/>
      <c r="R5" s="110"/>
      <c r="S5" s="110"/>
      <c r="T5" s="110"/>
    </row>
    <row r="6" spans="1:21" ht="15.75" customHeight="1" x14ac:dyDescent="0.35">
      <c r="B6" s="209" t="s">
        <v>38</v>
      </c>
      <c r="C6" s="209"/>
      <c r="D6" s="209"/>
      <c r="E6" s="209"/>
      <c r="F6" s="209"/>
      <c r="G6" s="209"/>
      <c r="H6" s="209"/>
      <c r="I6" s="209"/>
      <c r="J6" s="209"/>
      <c r="K6" s="209"/>
      <c r="L6" s="209"/>
      <c r="M6" s="209"/>
      <c r="N6" s="209"/>
      <c r="O6" s="209"/>
      <c r="P6" s="209"/>
      <c r="Q6" s="209"/>
      <c r="R6" s="209"/>
      <c r="S6" s="209"/>
      <c r="T6" s="209"/>
    </row>
    <row r="7" spans="1:21" ht="5.0999999999999996" customHeight="1" thickBot="1" x14ac:dyDescent="0.4">
      <c r="B7" s="120"/>
      <c r="C7" s="120"/>
      <c r="D7" s="120"/>
      <c r="E7" s="120"/>
      <c r="F7" s="120"/>
      <c r="G7" s="121"/>
      <c r="H7" s="122"/>
      <c r="I7" s="122"/>
      <c r="J7" s="122"/>
      <c r="K7" s="111"/>
      <c r="L7" s="111"/>
      <c r="M7" s="111"/>
      <c r="N7" s="111"/>
      <c r="O7" s="111"/>
      <c r="Q7" s="111"/>
      <c r="R7" s="111"/>
      <c r="S7" s="111"/>
      <c r="T7" s="111"/>
    </row>
    <row r="8" spans="1:21" ht="14.1" customHeight="1" x14ac:dyDescent="0.35">
      <c r="A8" s="117"/>
      <c r="B8" s="123"/>
      <c r="C8" s="210" t="s">
        <v>39</v>
      </c>
      <c r="D8" s="210"/>
      <c r="E8" s="210"/>
      <c r="F8" s="124"/>
      <c r="G8" s="125"/>
      <c r="H8" s="126"/>
      <c r="I8" s="210" t="s">
        <v>40</v>
      </c>
      <c r="J8" s="210"/>
      <c r="K8" s="210"/>
      <c r="L8" s="210"/>
      <c r="M8" s="210"/>
      <c r="N8" s="210"/>
      <c r="O8" s="73"/>
      <c r="P8" s="127"/>
      <c r="Q8" s="128"/>
      <c r="R8" s="211" t="s">
        <v>41</v>
      </c>
      <c r="S8" s="211"/>
      <c r="T8" s="129"/>
      <c r="U8" s="118"/>
    </row>
    <row r="9" spans="1:21" ht="12.95" customHeight="1" x14ac:dyDescent="0.35">
      <c r="A9" s="117"/>
      <c r="B9" s="97"/>
      <c r="C9" s="213" t="s">
        <v>42</v>
      </c>
      <c r="D9" s="213"/>
      <c r="E9" s="213"/>
      <c r="F9" s="130"/>
      <c r="G9" s="74"/>
      <c r="H9" s="80"/>
      <c r="I9" s="214" t="s">
        <v>43</v>
      </c>
      <c r="J9" s="214"/>
      <c r="K9" s="214"/>
      <c r="L9" s="214"/>
      <c r="M9" s="214"/>
      <c r="N9" s="214"/>
      <c r="O9" s="76"/>
      <c r="P9" s="74"/>
      <c r="Q9" s="131"/>
      <c r="R9" s="212"/>
      <c r="S9" s="212"/>
      <c r="T9" s="132"/>
      <c r="U9" s="118"/>
    </row>
    <row r="10" spans="1:21" ht="12.95" customHeight="1" x14ac:dyDescent="0.35">
      <c r="A10" s="117"/>
      <c r="B10" s="133" t="s">
        <v>44</v>
      </c>
      <c r="C10" s="213"/>
      <c r="D10" s="213"/>
      <c r="E10" s="213"/>
      <c r="F10" s="134"/>
      <c r="G10" s="74"/>
      <c r="H10" s="80"/>
      <c r="I10" s="214"/>
      <c r="J10" s="214"/>
      <c r="K10" s="214"/>
      <c r="L10" s="214"/>
      <c r="M10" s="214"/>
      <c r="N10" s="214"/>
      <c r="O10" s="76"/>
      <c r="P10" s="74"/>
      <c r="Q10" s="77"/>
      <c r="T10" s="135"/>
      <c r="U10" s="118"/>
    </row>
    <row r="11" spans="1:21" x14ac:dyDescent="0.35">
      <c r="A11" s="117"/>
      <c r="B11" s="136"/>
      <c r="C11" s="137"/>
      <c r="D11" s="137"/>
      <c r="E11" s="137"/>
      <c r="F11" s="138"/>
      <c r="G11" s="74"/>
      <c r="H11" s="80"/>
      <c r="I11" s="214"/>
      <c r="J11" s="214"/>
      <c r="K11" s="214"/>
      <c r="L11" s="214"/>
      <c r="M11" s="214"/>
      <c r="N11" s="214"/>
      <c r="O11" s="76"/>
      <c r="P11" s="74"/>
      <c r="Q11" s="77"/>
      <c r="T11" s="135"/>
      <c r="U11" s="118"/>
    </row>
    <row r="12" spans="1:21" ht="21.75" customHeight="1" x14ac:dyDescent="0.35">
      <c r="A12" s="117"/>
      <c r="B12" s="77"/>
      <c r="F12" s="76"/>
      <c r="G12" s="74"/>
      <c r="H12" s="77"/>
      <c r="I12" s="214"/>
      <c r="J12" s="214"/>
      <c r="K12" s="214"/>
      <c r="L12" s="214"/>
      <c r="M12" s="214"/>
      <c r="N12" s="214"/>
      <c r="O12" s="76"/>
      <c r="P12" s="74"/>
      <c r="Q12" s="77"/>
      <c r="T12" s="135"/>
      <c r="U12" s="118"/>
    </row>
    <row r="13" spans="1:21" x14ac:dyDescent="0.35">
      <c r="A13" s="117"/>
      <c r="B13" s="77"/>
      <c r="F13" s="76"/>
      <c r="G13" s="74"/>
      <c r="H13" s="77"/>
      <c r="I13" s="139"/>
      <c r="J13" s="139"/>
      <c r="K13" s="139"/>
      <c r="L13" s="139"/>
      <c r="M13" s="139"/>
      <c r="N13" s="139"/>
      <c r="O13" s="76"/>
      <c r="P13" s="74"/>
      <c r="Q13" s="77"/>
      <c r="T13" s="135"/>
      <c r="U13" s="118"/>
    </row>
    <row r="14" spans="1:21" ht="12.95" customHeight="1" x14ac:dyDescent="0.35">
      <c r="A14" s="117"/>
      <c r="B14" s="77"/>
      <c r="F14" s="76"/>
      <c r="G14" s="74"/>
      <c r="H14" s="77"/>
      <c r="I14" s="139"/>
      <c r="J14" s="139"/>
      <c r="K14" s="139"/>
      <c r="L14" s="139"/>
      <c r="M14" s="139"/>
      <c r="N14" s="139"/>
      <c r="O14" s="76"/>
      <c r="P14" s="74"/>
      <c r="Q14" s="77"/>
      <c r="R14" s="216" t="s">
        <v>45</v>
      </c>
      <c r="S14" s="216"/>
      <c r="T14" s="135"/>
      <c r="U14" s="118"/>
    </row>
    <row r="15" spans="1:21" ht="12.95" customHeight="1" x14ac:dyDescent="0.35">
      <c r="A15" s="117"/>
      <c r="B15" s="77"/>
      <c r="F15" s="76"/>
      <c r="G15" s="74"/>
      <c r="H15" s="77"/>
      <c r="I15" s="139" t="s">
        <v>4</v>
      </c>
      <c r="J15" s="139"/>
      <c r="K15" s="139"/>
      <c r="L15" s="139"/>
      <c r="M15" s="139"/>
      <c r="N15" s="139"/>
      <c r="O15" s="76"/>
      <c r="P15" s="74"/>
      <c r="Q15" s="77"/>
      <c r="T15" s="135"/>
      <c r="U15" s="118"/>
    </row>
    <row r="16" spans="1:21" ht="15.75" customHeight="1" thickBot="1" x14ac:dyDescent="0.4">
      <c r="A16" s="117"/>
      <c r="B16" s="140" t="s">
        <v>46</v>
      </c>
      <c r="C16" s="217" t="s">
        <v>47</v>
      </c>
      <c r="D16" s="217"/>
      <c r="E16" s="217"/>
      <c r="F16" s="141"/>
      <c r="G16" s="142"/>
      <c r="H16" s="143"/>
      <c r="I16" s="144" t="s">
        <v>48</v>
      </c>
      <c r="J16" s="144"/>
      <c r="K16" s="145"/>
      <c r="L16" s="145"/>
      <c r="M16" s="145"/>
      <c r="N16" s="146"/>
      <c r="O16" s="147"/>
      <c r="P16" s="148"/>
      <c r="Q16" s="149"/>
      <c r="R16" s="150"/>
      <c r="S16" s="150"/>
      <c r="T16" s="151"/>
      <c r="U16" s="118"/>
    </row>
    <row r="17" spans="1:21" ht="5.0999999999999996" customHeight="1" x14ac:dyDescent="0.2">
      <c r="B17" s="152"/>
      <c r="C17" s="152"/>
      <c r="D17" s="152"/>
      <c r="E17" s="152"/>
      <c r="F17" s="152"/>
      <c r="G17" s="153"/>
      <c r="H17" s="154"/>
      <c r="I17" s="154"/>
      <c r="J17" s="154"/>
      <c r="K17" s="110"/>
      <c r="L17" s="110"/>
      <c r="M17" s="110"/>
      <c r="N17" s="110"/>
      <c r="O17" s="155"/>
      <c r="P17" s="156"/>
      <c r="Q17" s="155"/>
      <c r="R17" s="155"/>
      <c r="S17" s="155"/>
      <c r="T17" s="155"/>
    </row>
    <row r="18" spans="1:21" ht="15.75" customHeight="1" x14ac:dyDescent="0.35">
      <c r="B18" s="209" t="s">
        <v>49</v>
      </c>
      <c r="C18" s="209"/>
      <c r="D18" s="209"/>
      <c r="E18" s="209"/>
      <c r="F18" s="209"/>
      <c r="G18" s="209"/>
      <c r="H18" s="209"/>
      <c r="I18" s="209"/>
      <c r="J18" s="209"/>
      <c r="K18" s="209"/>
      <c r="L18" s="209"/>
      <c r="M18" s="209"/>
      <c r="N18" s="209"/>
      <c r="O18" s="209"/>
      <c r="P18" s="209"/>
      <c r="Q18" s="209"/>
      <c r="R18" s="209"/>
      <c r="S18" s="209"/>
      <c r="T18" s="209"/>
    </row>
    <row r="19" spans="1:21" s="157" customFormat="1" ht="5.0999999999999996" customHeight="1" x14ac:dyDescent="0.35">
      <c r="B19" s="96"/>
      <c r="C19" s="96"/>
      <c r="D19" s="96"/>
      <c r="E19" s="96"/>
      <c r="F19" s="96"/>
      <c r="G19" s="96"/>
      <c r="H19" s="96"/>
      <c r="I19" s="96"/>
      <c r="J19" s="96"/>
      <c r="K19" s="96"/>
      <c r="L19" s="96"/>
      <c r="M19" s="96"/>
      <c r="N19" s="96"/>
      <c r="O19" s="96"/>
      <c r="P19" s="96"/>
      <c r="Q19" s="96"/>
      <c r="R19" s="96"/>
      <c r="S19" s="96"/>
      <c r="T19" s="96"/>
    </row>
    <row r="20" spans="1:21" ht="15" customHeight="1" x14ac:dyDescent="0.35">
      <c r="B20" s="158"/>
      <c r="C20" s="218" t="s">
        <v>50</v>
      </c>
      <c r="D20" s="218"/>
      <c r="E20" s="218"/>
      <c r="F20" s="218"/>
      <c r="G20" s="218"/>
      <c r="H20" s="218"/>
      <c r="I20" s="218"/>
      <c r="J20" s="218"/>
      <c r="K20" s="218"/>
      <c r="L20" s="218"/>
      <c r="M20" s="218"/>
      <c r="N20" s="218"/>
      <c r="O20" s="218"/>
      <c r="P20" s="218"/>
      <c r="Q20" s="218"/>
      <c r="R20" s="218"/>
      <c r="S20" s="218"/>
      <c r="T20" s="158"/>
    </row>
    <row r="21" spans="1:21" s="159" customFormat="1" ht="5.0999999999999996" customHeight="1" thickBot="1" x14ac:dyDescent="0.4">
      <c r="B21" s="219"/>
      <c r="C21" s="219"/>
      <c r="D21" s="219"/>
      <c r="E21" s="219"/>
      <c r="F21" s="219"/>
      <c r="G21" s="219"/>
      <c r="H21" s="219"/>
      <c r="I21" s="219"/>
      <c r="J21" s="219"/>
      <c r="K21" s="219"/>
      <c r="L21" s="219"/>
      <c r="M21" s="219"/>
      <c r="N21" s="219"/>
      <c r="O21" s="219"/>
      <c r="P21" s="219"/>
      <c r="Q21" s="219"/>
      <c r="R21" s="219"/>
      <c r="S21" s="219"/>
      <c r="T21" s="219"/>
    </row>
    <row r="22" spans="1:21" ht="5.0999999999999996" customHeight="1" x14ac:dyDescent="0.35">
      <c r="A22" s="117"/>
      <c r="B22" s="160"/>
      <c r="C22" s="161"/>
      <c r="D22" s="161"/>
      <c r="E22" s="161"/>
      <c r="F22" s="161"/>
      <c r="G22" s="161"/>
      <c r="H22" s="161"/>
      <c r="I22" s="161"/>
      <c r="J22" s="161"/>
      <c r="K22" s="161"/>
      <c r="L22" s="161"/>
      <c r="M22" s="161"/>
      <c r="N22" s="161"/>
      <c r="O22" s="161"/>
      <c r="P22" s="161"/>
      <c r="Q22" s="161"/>
      <c r="R22" s="161"/>
      <c r="S22" s="161"/>
      <c r="T22" s="162"/>
      <c r="U22" s="118"/>
    </row>
    <row r="23" spans="1:21" ht="12.95" customHeight="1" x14ac:dyDescent="0.35">
      <c r="A23" s="117"/>
      <c r="B23" s="163"/>
      <c r="C23" s="220" t="s">
        <v>51</v>
      </c>
      <c r="D23" s="220"/>
      <c r="E23" s="220"/>
      <c r="F23" s="220"/>
      <c r="G23" s="220"/>
      <c r="H23" s="220"/>
      <c r="I23" s="220"/>
      <c r="J23" s="220"/>
      <c r="K23" s="220"/>
      <c r="L23" s="220"/>
      <c r="M23" s="220"/>
      <c r="N23" s="220"/>
      <c r="O23" s="220"/>
      <c r="P23" s="220"/>
      <c r="Q23" s="220"/>
      <c r="R23" s="220"/>
      <c r="S23" s="220"/>
      <c r="T23" s="164"/>
      <c r="U23" s="118"/>
    </row>
    <row r="24" spans="1:21" ht="12.95" customHeight="1" x14ac:dyDescent="0.35">
      <c r="A24" s="117"/>
      <c r="B24" s="163"/>
      <c r="C24" s="220" t="s">
        <v>52</v>
      </c>
      <c r="D24" s="220"/>
      <c r="E24" s="220"/>
      <c r="F24" s="220"/>
      <c r="G24" s="220"/>
      <c r="H24" s="220"/>
      <c r="I24" s="220"/>
      <c r="J24" s="220"/>
      <c r="K24" s="220"/>
      <c r="L24" s="220"/>
      <c r="M24" s="220"/>
      <c r="N24" s="220"/>
      <c r="O24" s="220"/>
      <c r="P24" s="220"/>
      <c r="Q24" s="220"/>
      <c r="R24" s="220"/>
      <c r="S24" s="220"/>
      <c r="T24" s="164"/>
      <c r="U24" s="118"/>
    </row>
    <row r="25" spans="1:21" ht="28.5" customHeight="1" x14ac:dyDescent="0.35">
      <c r="A25" s="117"/>
      <c r="B25" s="163"/>
      <c r="C25" s="220" t="s">
        <v>53</v>
      </c>
      <c r="D25" s="220"/>
      <c r="E25" s="220"/>
      <c r="F25" s="220"/>
      <c r="G25" s="220"/>
      <c r="H25" s="220"/>
      <c r="I25" s="220"/>
      <c r="J25" s="220"/>
      <c r="K25" s="220"/>
      <c r="L25" s="220"/>
      <c r="M25" s="220"/>
      <c r="N25" s="220"/>
      <c r="O25" s="220"/>
      <c r="P25" s="220"/>
      <c r="Q25" s="220"/>
      <c r="R25" s="220"/>
      <c r="S25" s="220"/>
      <c r="T25" s="164"/>
      <c r="U25" s="118"/>
    </row>
    <row r="26" spans="1:21" ht="39.950000000000003" customHeight="1" x14ac:dyDescent="0.35">
      <c r="A26" s="117"/>
      <c r="B26" s="163"/>
      <c r="C26" s="220" t="s">
        <v>54</v>
      </c>
      <c r="D26" s="220"/>
      <c r="E26" s="220"/>
      <c r="F26" s="220"/>
      <c r="G26" s="220"/>
      <c r="H26" s="220"/>
      <c r="I26" s="220"/>
      <c r="J26" s="220"/>
      <c r="K26" s="220"/>
      <c r="L26" s="220"/>
      <c r="M26" s="220"/>
      <c r="N26" s="220"/>
      <c r="O26" s="220"/>
      <c r="P26" s="220"/>
      <c r="Q26" s="220"/>
      <c r="R26" s="220"/>
      <c r="S26" s="220"/>
      <c r="T26" s="164"/>
      <c r="U26" s="118"/>
    </row>
    <row r="27" spans="1:21" ht="12" customHeight="1" x14ac:dyDescent="0.35">
      <c r="A27" s="117"/>
      <c r="B27" s="165"/>
      <c r="C27" s="221" t="s">
        <v>55</v>
      </c>
      <c r="D27" s="222"/>
      <c r="E27" s="222"/>
      <c r="F27" s="222"/>
      <c r="G27" s="222"/>
      <c r="H27" s="222"/>
      <c r="I27" s="222"/>
      <c r="J27" s="222"/>
      <c r="K27" s="222"/>
      <c r="L27" s="222"/>
      <c r="M27" s="222"/>
      <c r="N27" s="222"/>
      <c r="O27" s="222"/>
      <c r="P27" s="222"/>
      <c r="Q27" s="222"/>
      <c r="R27" s="222"/>
      <c r="S27" s="222"/>
      <c r="T27" s="166"/>
      <c r="U27" s="118"/>
    </row>
    <row r="28" spans="1:21" ht="12.95" customHeight="1" x14ac:dyDescent="0.35">
      <c r="A28" s="117"/>
      <c r="B28" s="167"/>
      <c r="C28" s="215" t="s">
        <v>56</v>
      </c>
      <c r="D28" s="215"/>
      <c r="E28" s="215"/>
      <c r="F28" s="215"/>
      <c r="G28" s="215"/>
      <c r="H28" s="215"/>
      <c r="I28" s="215"/>
      <c r="J28" s="215"/>
      <c r="K28" s="215"/>
      <c r="L28" s="215"/>
      <c r="M28" s="215"/>
      <c r="N28" s="215"/>
      <c r="O28" s="215"/>
      <c r="P28" s="215"/>
      <c r="Q28" s="215"/>
      <c r="R28" s="215"/>
      <c r="S28" s="215"/>
      <c r="T28" s="168"/>
      <c r="U28" s="118"/>
    </row>
    <row r="29" spans="1:21" ht="12.95" customHeight="1" x14ac:dyDescent="0.35">
      <c r="A29" s="117"/>
      <c r="B29" s="167" t="s">
        <v>57</v>
      </c>
      <c r="C29" s="215" t="s">
        <v>57</v>
      </c>
      <c r="D29" s="215"/>
      <c r="E29" s="215"/>
      <c r="F29" s="215"/>
      <c r="G29" s="215"/>
      <c r="H29" s="215"/>
      <c r="I29" s="215"/>
      <c r="J29" s="215"/>
      <c r="K29" s="215"/>
      <c r="L29" s="215"/>
      <c r="M29" s="215"/>
      <c r="N29" s="215"/>
      <c r="O29" s="215"/>
      <c r="P29" s="215"/>
      <c r="Q29" s="215"/>
      <c r="R29" s="215"/>
      <c r="S29" s="215"/>
      <c r="T29" s="168"/>
      <c r="U29" s="118"/>
    </row>
    <row r="30" spans="1:21" ht="27.95" customHeight="1" x14ac:dyDescent="0.35">
      <c r="A30" s="117"/>
      <c r="B30" s="167"/>
      <c r="C30" s="215" t="s">
        <v>58</v>
      </c>
      <c r="D30" s="215"/>
      <c r="E30" s="215"/>
      <c r="F30" s="215"/>
      <c r="G30" s="215"/>
      <c r="H30" s="215"/>
      <c r="I30" s="215"/>
      <c r="J30" s="215"/>
      <c r="K30" s="215"/>
      <c r="L30" s="215"/>
      <c r="M30" s="215"/>
      <c r="N30" s="215"/>
      <c r="O30" s="215"/>
      <c r="P30" s="215"/>
      <c r="Q30" s="215"/>
      <c r="R30" s="215"/>
      <c r="S30" s="215"/>
      <c r="T30" s="168"/>
      <c r="U30" s="118"/>
    </row>
    <row r="31" spans="1:21" ht="15" customHeight="1" x14ac:dyDescent="0.35">
      <c r="A31" s="117"/>
      <c r="B31" s="169"/>
      <c r="C31" s="223" t="s">
        <v>59</v>
      </c>
      <c r="D31" s="223"/>
      <c r="E31" s="223"/>
      <c r="F31" s="223"/>
      <c r="G31" s="223"/>
      <c r="H31" s="223"/>
      <c r="I31" s="223"/>
      <c r="J31" s="223"/>
      <c r="K31" s="223"/>
      <c r="L31" s="223"/>
      <c r="M31" s="223"/>
      <c r="N31" s="223"/>
      <c r="O31" s="223"/>
      <c r="P31" s="223"/>
      <c r="Q31" s="223"/>
      <c r="R31" s="223"/>
      <c r="S31" s="223"/>
      <c r="T31" s="170"/>
      <c r="U31" s="118"/>
    </row>
    <row r="32" spans="1:21" ht="12.95" customHeight="1" x14ac:dyDescent="0.35">
      <c r="A32" s="117"/>
      <c r="B32" s="163"/>
      <c r="C32" s="220" t="s">
        <v>60</v>
      </c>
      <c r="D32" s="220"/>
      <c r="E32" s="220"/>
      <c r="F32" s="220"/>
      <c r="G32" s="220"/>
      <c r="H32" s="220"/>
      <c r="I32" s="220"/>
      <c r="J32" s="220"/>
      <c r="K32" s="220"/>
      <c r="L32" s="220"/>
      <c r="M32" s="220"/>
      <c r="N32" s="220"/>
      <c r="O32" s="220"/>
      <c r="P32" s="220"/>
      <c r="Q32" s="220"/>
      <c r="R32" s="220"/>
      <c r="S32" s="220"/>
      <c r="T32" s="164"/>
      <c r="U32" s="118"/>
    </row>
    <row r="33" spans="1:21" ht="5.0999999999999996" customHeight="1" thickBot="1" x14ac:dyDescent="0.4">
      <c r="A33" s="117"/>
      <c r="B33" s="171"/>
      <c r="C33" s="172"/>
      <c r="D33" s="172"/>
      <c r="E33" s="172"/>
      <c r="F33" s="172"/>
      <c r="G33" s="172"/>
      <c r="H33" s="172"/>
      <c r="I33" s="172"/>
      <c r="J33" s="172"/>
      <c r="K33" s="172"/>
      <c r="L33" s="172"/>
      <c r="M33" s="172"/>
      <c r="N33" s="172"/>
      <c r="O33" s="172"/>
      <c r="P33" s="172"/>
      <c r="Q33" s="172"/>
      <c r="R33" s="172"/>
      <c r="S33" s="172"/>
      <c r="T33" s="173"/>
      <c r="U33" s="118"/>
    </row>
    <row r="34" spans="1:21" ht="5.0999999999999996" customHeight="1" thickBot="1" x14ac:dyDescent="0.4">
      <c r="B34" s="174"/>
      <c r="C34" s="174"/>
      <c r="D34" s="175"/>
      <c r="E34" s="175"/>
      <c r="F34" s="175"/>
      <c r="G34" s="175"/>
      <c r="H34" s="175"/>
      <c r="I34" s="175"/>
      <c r="J34" s="175"/>
      <c r="K34" s="175"/>
      <c r="L34" s="110"/>
      <c r="M34" s="175"/>
      <c r="N34" s="175"/>
      <c r="O34" s="175"/>
      <c r="P34" s="175"/>
      <c r="Q34" s="175"/>
      <c r="R34" s="175"/>
      <c r="S34" s="175"/>
      <c r="T34" s="175"/>
    </row>
    <row r="35" spans="1:21" ht="5.0999999999999996" customHeight="1" x14ac:dyDescent="0.35">
      <c r="A35" s="117"/>
      <c r="B35" s="70"/>
      <c r="C35" s="71"/>
      <c r="D35" s="72"/>
      <c r="E35" s="72"/>
      <c r="F35" s="72"/>
      <c r="G35" s="72"/>
      <c r="H35" s="72"/>
      <c r="I35" s="72"/>
      <c r="J35" s="72"/>
      <c r="K35" s="73"/>
      <c r="L35" s="74"/>
      <c r="M35" s="75"/>
      <c r="N35" s="72"/>
      <c r="O35" s="72"/>
      <c r="P35" s="72"/>
      <c r="Q35" s="72"/>
      <c r="R35" s="72"/>
      <c r="S35" s="72"/>
      <c r="T35" s="73"/>
      <c r="U35" s="118"/>
    </row>
    <row r="36" spans="1:21" ht="14.1" customHeight="1" x14ac:dyDescent="0.35">
      <c r="A36" s="117"/>
      <c r="B36" s="224" t="s">
        <v>61</v>
      </c>
      <c r="C36" s="225"/>
      <c r="D36" s="225"/>
      <c r="E36" s="225"/>
      <c r="F36" s="225"/>
      <c r="G36" s="225"/>
      <c r="H36" s="225"/>
      <c r="I36" s="225"/>
      <c r="J36" s="225"/>
      <c r="K36" s="76"/>
      <c r="L36" s="74"/>
      <c r="M36" s="77"/>
      <c r="N36" s="226" t="s">
        <v>62</v>
      </c>
      <c r="O36" s="226"/>
      <c r="P36" s="226"/>
      <c r="Q36" s="226"/>
      <c r="R36" s="226"/>
      <c r="S36" s="226"/>
      <c r="T36" s="78"/>
      <c r="U36" s="118"/>
    </row>
    <row r="37" spans="1:21" ht="30.75" customHeight="1" x14ac:dyDescent="0.35">
      <c r="A37" s="117"/>
      <c r="B37" s="224"/>
      <c r="C37" s="225"/>
      <c r="D37" s="225"/>
      <c r="E37" s="225"/>
      <c r="F37" s="225"/>
      <c r="G37" s="225"/>
      <c r="H37" s="225"/>
      <c r="I37" s="225"/>
      <c r="J37" s="225"/>
      <c r="K37" s="76"/>
      <c r="L37" s="74"/>
      <c r="M37" s="77"/>
      <c r="N37" s="227" t="s">
        <v>63</v>
      </c>
      <c r="O37" s="227"/>
      <c r="P37" s="227"/>
      <c r="Q37" s="227"/>
      <c r="R37" s="227"/>
      <c r="S37" s="227"/>
      <c r="T37" s="79"/>
      <c r="U37" s="118"/>
    </row>
    <row r="38" spans="1:21" ht="30" customHeight="1" x14ac:dyDescent="0.35">
      <c r="A38" s="117"/>
      <c r="B38" s="224"/>
      <c r="C38" s="225"/>
      <c r="D38" s="225"/>
      <c r="E38" s="225"/>
      <c r="F38" s="225"/>
      <c r="G38" s="225"/>
      <c r="H38" s="225"/>
      <c r="I38" s="225"/>
      <c r="J38" s="225"/>
      <c r="K38" s="76"/>
      <c r="L38" s="74"/>
      <c r="M38" s="77"/>
      <c r="N38" s="227"/>
      <c r="O38" s="227"/>
      <c r="P38" s="227"/>
      <c r="Q38" s="227"/>
      <c r="R38" s="227"/>
      <c r="S38" s="227"/>
      <c r="T38" s="79"/>
      <c r="U38" s="118"/>
    </row>
    <row r="39" spans="1:21" ht="12.95" customHeight="1" x14ac:dyDescent="0.35">
      <c r="A39" s="117"/>
      <c r="B39" s="80"/>
      <c r="C39" s="228" t="s">
        <v>64</v>
      </c>
      <c r="D39" s="228"/>
      <c r="E39" s="228"/>
      <c r="F39" s="228"/>
      <c r="G39" s="228"/>
      <c r="H39" s="228"/>
      <c r="I39" s="228"/>
      <c r="J39" s="228"/>
      <c r="K39" s="76"/>
      <c r="L39" s="74"/>
      <c r="M39" s="77"/>
      <c r="N39" s="227"/>
      <c r="O39" s="227"/>
      <c r="P39" s="227"/>
      <c r="Q39" s="227"/>
      <c r="R39" s="227"/>
      <c r="S39" s="227"/>
      <c r="T39" s="79"/>
      <c r="U39" s="118"/>
    </row>
    <row r="40" spans="1:21" ht="5.0999999999999996" customHeight="1" thickBot="1" x14ac:dyDescent="0.4">
      <c r="A40" s="117"/>
      <c r="B40" s="81"/>
      <c r="C40" s="82"/>
      <c r="D40" s="82"/>
      <c r="E40" s="82"/>
      <c r="F40" s="82"/>
      <c r="G40" s="82"/>
      <c r="H40" s="82"/>
      <c r="I40" s="82"/>
      <c r="J40" s="82"/>
      <c r="K40" s="83"/>
      <c r="L40" s="74"/>
      <c r="M40" s="77"/>
      <c r="N40" s="84"/>
      <c r="O40" s="84"/>
      <c r="P40" s="84"/>
      <c r="Q40" s="84"/>
      <c r="R40" s="84"/>
      <c r="S40" s="84"/>
      <c r="T40" s="85"/>
      <c r="U40" s="118"/>
    </row>
    <row r="41" spans="1:21" ht="5.0999999999999996" customHeight="1" thickBot="1" x14ac:dyDescent="0.4">
      <c r="B41" s="86"/>
      <c r="C41" s="86"/>
      <c r="D41" s="86"/>
      <c r="E41" s="86"/>
      <c r="F41" s="86"/>
      <c r="G41" s="86"/>
      <c r="H41" s="86"/>
      <c r="I41" s="86"/>
      <c r="J41" s="86"/>
      <c r="K41" s="86"/>
      <c r="L41" s="87"/>
      <c r="M41" s="88"/>
      <c r="N41" s="89"/>
      <c r="O41" s="89"/>
      <c r="P41" s="89"/>
      <c r="Q41" s="89"/>
      <c r="R41" s="89"/>
      <c r="S41" s="89"/>
      <c r="T41" s="90"/>
      <c r="U41" s="118"/>
    </row>
    <row r="42" spans="1:21" ht="5.0999999999999996" customHeight="1" x14ac:dyDescent="0.35">
      <c r="A42" s="117"/>
      <c r="B42" s="91"/>
      <c r="C42" s="92"/>
      <c r="D42" s="92"/>
      <c r="E42" s="92"/>
      <c r="F42" s="92"/>
      <c r="G42" s="92"/>
      <c r="H42" s="92"/>
      <c r="I42" s="92"/>
      <c r="J42" s="92"/>
      <c r="K42" s="93"/>
      <c r="L42" s="94"/>
      <c r="M42" s="88"/>
      <c r="N42" s="89"/>
      <c r="O42" s="89"/>
      <c r="P42" s="89"/>
      <c r="Q42" s="89"/>
      <c r="R42" s="89"/>
      <c r="S42" s="89"/>
      <c r="T42" s="90"/>
      <c r="U42" s="118"/>
    </row>
    <row r="43" spans="1:21" ht="42.75" customHeight="1" x14ac:dyDescent="0.35">
      <c r="A43" s="117"/>
      <c r="B43" s="95"/>
      <c r="C43" s="225" t="s">
        <v>65</v>
      </c>
      <c r="D43" s="225"/>
      <c r="E43" s="225"/>
      <c r="F43" s="225"/>
      <c r="G43" s="225"/>
      <c r="H43" s="225"/>
      <c r="I43" s="225"/>
      <c r="J43" s="225"/>
      <c r="K43" s="76"/>
      <c r="L43" s="74"/>
      <c r="M43" s="77"/>
      <c r="T43" s="76"/>
      <c r="U43" s="118"/>
    </row>
    <row r="44" spans="1:21" ht="30" customHeight="1" x14ac:dyDescent="0.35">
      <c r="A44" s="117"/>
      <c r="B44" s="97"/>
      <c r="C44" s="225"/>
      <c r="D44" s="225"/>
      <c r="E44" s="225"/>
      <c r="F44" s="225"/>
      <c r="G44" s="225"/>
      <c r="H44" s="225"/>
      <c r="I44" s="225"/>
      <c r="J44" s="225"/>
      <c r="K44" s="76"/>
      <c r="L44" s="74"/>
      <c r="M44" s="77"/>
      <c r="T44" s="76"/>
      <c r="U44" s="118"/>
    </row>
    <row r="45" spans="1:21" ht="12.95" customHeight="1" x14ac:dyDescent="0.35">
      <c r="A45" s="117"/>
      <c r="B45" s="80"/>
      <c r="C45" s="230" t="s">
        <v>66</v>
      </c>
      <c r="D45" s="230"/>
      <c r="E45" s="230"/>
      <c r="F45" s="230"/>
      <c r="G45" s="230"/>
      <c r="H45" s="230"/>
      <c r="I45" s="230"/>
      <c r="J45" s="230"/>
      <c r="K45" s="76"/>
      <c r="L45" s="74"/>
      <c r="M45" s="77"/>
      <c r="T45" s="76"/>
      <c r="U45" s="118"/>
    </row>
    <row r="46" spans="1:21" ht="5.0999999999999996" customHeight="1" thickBot="1" x14ac:dyDescent="0.4">
      <c r="A46" s="117"/>
      <c r="B46" s="81"/>
      <c r="C46" s="82"/>
      <c r="D46" s="82"/>
      <c r="E46" s="82"/>
      <c r="F46" s="82"/>
      <c r="G46" s="82"/>
      <c r="H46" s="82"/>
      <c r="I46" s="82"/>
      <c r="J46" s="82"/>
      <c r="K46" s="83"/>
      <c r="L46" s="74"/>
      <c r="M46" s="77"/>
      <c r="T46" s="76"/>
      <c r="U46" s="118"/>
    </row>
    <row r="47" spans="1:21" ht="5.0999999999999996" customHeight="1" thickBot="1" x14ac:dyDescent="0.4">
      <c r="B47" s="98"/>
      <c r="C47" s="98"/>
      <c r="D47" s="98"/>
      <c r="E47" s="98"/>
      <c r="F47" s="98"/>
      <c r="G47" s="98"/>
      <c r="H47" s="98"/>
      <c r="I47" s="98"/>
      <c r="J47" s="98"/>
      <c r="K47" s="98"/>
      <c r="L47" s="99"/>
      <c r="M47" s="100"/>
      <c r="N47" s="101"/>
      <c r="O47" s="101"/>
      <c r="P47" s="101"/>
      <c r="Q47" s="101"/>
      <c r="R47" s="101"/>
      <c r="S47" s="101"/>
      <c r="T47" s="102"/>
      <c r="U47" s="118"/>
    </row>
    <row r="48" spans="1:21" ht="5.0999999999999996" customHeight="1" x14ac:dyDescent="0.35">
      <c r="A48" s="117"/>
      <c r="B48" s="103"/>
      <c r="C48" s="104"/>
      <c r="D48" s="104"/>
      <c r="E48" s="104"/>
      <c r="F48" s="104"/>
      <c r="G48" s="104"/>
      <c r="H48" s="104"/>
      <c r="I48" s="104"/>
      <c r="J48" s="104"/>
      <c r="K48" s="105"/>
      <c r="L48" s="106"/>
      <c r="M48" s="100"/>
      <c r="N48" s="101"/>
      <c r="O48" s="101"/>
      <c r="P48" s="101"/>
      <c r="Q48" s="101"/>
      <c r="R48" s="101"/>
      <c r="S48" s="101"/>
      <c r="T48" s="102"/>
      <c r="U48" s="118"/>
    </row>
    <row r="49" spans="1:21" ht="42" customHeight="1" x14ac:dyDescent="0.35">
      <c r="A49" s="117"/>
      <c r="B49" s="95"/>
      <c r="C49" s="225" t="s">
        <v>67</v>
      </c>
      <c r="D49" s="225"/>
      <c r="E49" s="225"/>
      <c r="F49" s="225"/>
      <c r="G49" s="225"/>
      <c r="H49" s="225"/>
      <c r="I49" s="225"/>
      <c r="J49" s="225"/>
      <c r="K49" s="76"/>
      <c r="L49" s="74"/>
      <c r="M49" s="77"/>
      <c r="T49" s="76"/>
      <c r="U49" s="118"/>
    </row>
    <row r="50" spans="1:21" ht="30" customHeight="1" x14ac:dyDescent="0.35">
      <c r="A50" s="117"/>
      <c r="B50" s="97"/>
      <c r="C50" s="225"/>
      <c r="D50" s="225"/>
      <c r="E50" s="225"/>
      <c r="F50" s="225"/>
      <c r="G50" s="225"/>
      <c r="H50" s="225"/>
      <c r="I50" s="225"/>
      <c r="J50" s="225"/>
      <c r="K50" s="76"/>
      <c r="L50" s="74"/>
      <c r="M50" s="77"/>
      <c r="T50" s="76"/>
      <c r="U50" s="118"/>
    </row>
    <row r="51" spans="1:21" ht="12.95" customHeight="1" x14ac:dyDescent="0.35">
      <c r="A51" s="117"/>
      <c r="B51" s="107"/>
      <c r="C51" s="231" t="s">
        <v>68</v>
      </c>
      <c r="D51" s="231"/>
      <c r="E51" s="231"/>
      <c r="F51" s="231"/>
      <c r="G51" s="231"/>
      <c r="H51" s="231"/>
      <c r="I51" s="231"/>
      <c r="J51" s="231"/>
      <c r="K51" s="76"/>
      <c r="L51" s="74"/>
      <c r="M51" s="77"/>
      <c r="N51" s="232" t="s">
        <v>69</v>
      </c>
      <c r="O51" s="232"/>
      <c r="P51" s="232"/>
      <c r="Q51" s="232"/>
      <c r="R51" s="232"/>
      <c r="S51" s="232"/>
      <c r="T51" s="108"/>
      <c r="U51" s="118"/>
    </row>
    <row r="52" spans="1:21" ht="5.0999999999999996" customHeight="1" thickBot="1" x14ac:dyDescent="0.4">
      <c r="A52" s="117"/>
      <c r="B52" s="81"/>
      <c r="C52" s="82"/>
      <c r="D52" s="82"/>
      <c r="E52" s="82"/>
      <c r="F52" s="82"/>
      <c r="G52" s="82"/>
      <c r="H52" s="82"/>
      <c r="I52" s="82"/>
      <c r="J52" s="82"/>
      <c r="K52" s="83"/>
      <c r="L52" s="74"/>
      <c r="M52" s="81"/>
      <c r="N52" s="82"/>
      <c r="O52" s="82"/>
      <c r="P52" s="82"/>
      <c r="Q52" s="82"/>
      <c r="R52" s="82"/>
      <c r="S52" s="82"/>
      <c r="T52" s="83"/>
      <c r="U52" s="118"/>
    </row>
    <row r="53" spans="1:21" ht="5.0999999999999996" customHeight="1" x14ac:dyDescent="0.35">
      <c r="B53" s="109"/>
      <c r="C53" s="109"/>
      <c r="D53" s="110"/>
      <c r="E53" s="110"/>
      <c r="F53" s="110"/>
      <c r="G53" s="110"/>
      <c r="H53" s="110"/>
      <c r="I53" s="110"/>
      <c r="J53" s="110"/>
      <c r="K53" s="110"/>
      <c r="M53" s="110"/>
      <c r="N53" s="110"/>
      <c r="O53" s="110"/>
      <c r="P53" s="110"/>
      <c r="Q53" s="110"/>
      <c r="R53" s="110"/>
      <c r="S53" s="110"/>
      <c r="T53" s="110"/>
    </row>
    <row r="54" spans="1:21" ht="15" customHeight="1" thickBot="1" x14ac:dyDescent="0.4">
      <c r="B54" s="111"/>
      <c r="C54" s="233" t="s">
        <v>70</v>
      </c>
      <c r="D54" s="233"/>
      <c r="E54" s="233"/>
      <c r="F54" s="233"/>
      <c r="G54" s="233"/>
      <c r="H54" s="233"/>
      <c r="I54" s="233"/>
      <c r="J54" s="233"/>
      <c r="K54" s="233"/>
      <c r="L54" s="233"/>
      <c r="M54" s="233"/>
      <c r="N54" s="233"/>
      <c r="O54" s="233"/>
      <c r="P54" s="233"/>
      <c r="Q54" s="233"/>
      <c r="R54" s="233"/>
      <c r="S54" s="233"/>
      <c r="T54" s="112"/>
    </row>
    <row r="55" spans="1:21" ht="5.0999999999999996" customHeight="1" x14ac:dyDescent="0.35">
      <c r="A55" s="117"/>
      <c r="B55" s="113"/>
      <c r="C55" s="114"/>
      <c r="D55" s="72"/>
      <c r="E55" s="72"/>
      <c r="F55" s="72"/>
      <c r="G55" s="72"/>
      <c r="H55" s="72"/>
      <c r="I55" s="72"/>
      <c r="J55" s="72"/>
      <c r="K55" s="72"/>
      <c r="L55" s="72"/>
      <c r="M55" s="72"/>
      <c r="N55" s="72"/>
      <c r="O55" s="72"/>
      <c r="P55" s="72"/>
      <c r="Q55" s="72"/>
      <c r="R55" s="72"/>
      <c r="S55" s="72"/>
      <c r="T55" s="73"/>
      <c r="U55" s="118"/>
    </row>
    <row r="56" spans="1:21" ht="33.75" customHeight="1" thickBot="1" x14ac:dyDescent="0.4">
      <c r="A56" s="117"/>
      <c r="B56" s="115"/>
      <c r="C56" s="229" t="s">
        <v>71</v>
      </c>
      <c r="D56" s="229"/>
      <c r="E56" s="229"/>
      <c r="F56" s="229"/>
      <c r="G56" s="229"/>
      <c r="H56" s="229"/>
      <c r="I56" s="229"/>
      <c r="J56" s="229"/>
      <c r="K56" s="229"/>
      <c r="L56" s="229"/>
      <c r="M56" s="229"/>
      <c r="N56" s="229"/>
      <c r="O56" s="229"/>
      <c r="P56" s="229"/>
      <c r="Q56" s="229"/>
      <c r="R56" s="229"/>
      <c r="S56" s="229"/>
      <c r="T56" s="116"/>
      <c r="U56" s="118"/>
    </row>
    <row r="57" spans="1:21" ht="5.0999999999999996" customHeight="1" x14ac:dyDescent="0.35">
      <c r="B57" s="176"/>
      <c r="C57" s="176"/>
      <c r="D57" s="176"/>
      <c r="E57" s="176"/>
      <c r="F57" s="176"/>
      <c r="G57" s="176"/>
      <c r="H57" s="176"/>
      <c r="I57" s="176"/>
      <c r="J57" s="176"/>
      <c r="K57" s="110"/>
      <c r="L57" s="110"/>
      <c r="M57" s="110"/>
      <c r="N57" s="110"/>
      <c r="O57" s="110"/>
      <c r="P57" s="110"/>
      <c r="Q57" s="110"/>
      <c r="R57" s="110"/>
      <c r="S57" s="110"/>
      <c r="T57" s="110"/>
    </row>
  </sheetData>
  <sheetProtection algorithmName="SHA-512" hashValue="MeJwq5lQ/Jcxq5rSTDFiKlpUougO1pf3RI8iCKmB3TUo4t6ymMA3qcgwlWvZFZwSZ2F/5kkUiTo3GTkCJyurjw==" saltValue="O1RGPCvqoxrpDa/OCUijwg==" spinCount="100000" sheet="1" selectLockedCells="1" selectUnlockedCells="1"/>
  <mergeCells count="35">
    <mergeCell ref="C56:S56"/>
    <mergeCell ref="C43:J44"/>
    <mergeCell ref="C45:J45"/>
    <mergeCell ref="C49:J50"/>
    <mergeCell ref="C51:J51"/>
    <mergeCell ref="N51:S51"/>
    <mergeCell ref="C54:S54"/>
    <mergeCell ref="C30:S30"/>
    <mergeCell ref="C31:S31"/>
    <mergeCell ref="C32:S32"/>
    <mergeCell ref="B36:J38"/>
    <mergeCell ref="N36:S36"/>
    <mergeCell ref="N37:S39"/>
    <mergeCell ref="C39:J39"/>
    <mergeCell ref="C29:S29"/>
    <mergeCell ref="R14:S14"/>
    <mergeCell ref="C16:E16"/>
    <mergeCell ref="B18:T18"/>
    <mergeCell ref="C20:S20"/>
    <mergeCell ref="B21:T21"/>
    <mergeCell ref="C23:S23"/>
    <mergeCell ref="C24:S24"/>
    <mergeCell ref="C25:S25"/>
    <mergeCell ref="C26:S26"/>
    <mergeCell ref="C27:S27"/>
    <mergeCell ref="C28:S28"/>
    <mergeCell ref="B2:T2"/>
    <mergeCell ref="B3:T3"/>
    <mergeCell ref="B4:T4"/>
    <mergeCell ref="B6:T6"/>
    <mergeCell ref="C8:E8"/>
    <mergeCell ref="I8:N8"/>
    <mergeCell ref="R8:S9"/>
    <mergeCell ref="C9:E10"/>
    <mergeCell ref="I9:N12"/>
  </mergeCells>
  <printOptions horizontalCentered="1"/>
  <pageMargins left="0.39370078740157483" right="0.39370078740157483" top="0.19685039370078741" bottom="0.19685039370078741" header="0" footer="0"/>
  <pageSetup paperSize="9" scale="62"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sponsable xmlns="b3f47af1-0f4f-4d44-b97d-e61e278b691b">
      <UserInfo>
        <DisplayName>Gómiz Celdrán, Laura</DisplayName>
        <AccountId>18</AccountId>
        <AccountType/>
      </UserInfo>
    </Responsable>
    <Grado_x0020_de_x0020_protecci_x00f3_n xmlns="b3f47af1-0f4f-4d44-b97d-e61e278b691b">De uso interno</Grado_x0020_de_x0020_protecci_x00f3_n>
    <Tipo_x0020_de_x0020_documento xmlns="b3f47af1-0f4f-4d44-b97d-e61e278b691b">Cuadro Operativo</Tipo_x0020_de_x0020_documento>
    <_dlc_DocId xmlns="dfca3963-a120-4ccf-8ea4-3a67a64cd1a1">PRESTYPROV-750122423-178</_dlc_DocId>
    <_dlc_DocIdUrl xmlns="dfca3963-a120-4ccf-8ea4-3a67a64cd1a1">
      <Url>https://mapfrecorp.sharepoint.com/sites/GO365SPOEECOMPUSGIBEES-PROVSERV/_layouts/15/DocIdRedir.aspx?ID=PRESTYPROV-750122423-178</Url>
      <Description>PRESTYPROV-750122423-178</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E07ECA8656C6324981FA2B7015E9FC1E" ma:contentTypeVersion="14" ma:contentTypeDescription="Crear nuevo documento." ma:contentTypeScope="" ma:versionID="645f1f838f378d344afb5956d171b398">
  <xsd:schema xmlns:xsd="http://www.w3.org/2001/XMLSchema" xmlns:xs="http://www.w3.org/2001/XMLSchema" xmlns:p="http://schemas.microsoft.com/office/2006/metadata/properties" xmlns:ns2="dfca3963-a120-4ccf-8ea4-3a67a64cd1a1" xmlns:ns3="b3f47af1-0f4f-4d44-b97d-e61e278b691b" targetNamespace="http://schemas.microsoft.com/office/2006/metadata/properties" ma:root="true" ma:fieldsID="0ffce3426c40289325acd43fe87b672e" ns2:_="" ns3:_="">
    <xsd:import namespace="dfca3963-a120-4ccf-8ea4-3a67a64cd1a1"/>
    <xsd:import namespace="b3f47af1-0f4f-4d44-b97d-e61e278b691b"/>
    <xsd:element name="properties">
      <xsd:complexType>
        <xsd:sequence>
          <xsd:element name="documentManagement">
            <xsd:complexType>
              <xsd:all>
                <xsd:element ref="ns2:_dlc_DocId" minOccurs="0"/>
                <xsd:element ref="ns2:_dlc_DocIdUrl" minOccurs="0"/>
                <xsd:element ref="ns2:_dlc_DocIdPersistId" minOccurs="0"/>
                <xsd:element ref="ns3:Tipo_x0020_de_x0020_documento"/>
                <xsd:element ref="ns3:Grado_x0020_de_x0020_protecci_x00f3_n"/>
                <xsd:element ref="ns3:Responsable"/>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ca3963-a120-4ccf-8ea4-3a67a64cd1a1"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dexed="true"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Identificador persistente" ma:description="Mantener el identificador al agregar."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b3f47af1-0f4f-4d44-b97d-e61e278b691b" elementFormDefault="qualified">
    <xsd:import namespace="http://schemas.microsoft.com/office/2006/documentManagement/types"/>
    <xsd:import namespace="http://schemas.microsoft.com/office/infopath/2007/PartnerControls"/>
    <xsd:element name="Tipo_x0020_de_x0020_documento" ma:index="11" ma:displayName="Tipo de documento" ma:format="Dropdown" ma:internalName="Tipo_x0020_de_x0020_documento">
      <xsd:simpleType>
        <xsd:restriction base="dms:Choice">
          <xsd:enumeration value="Manual"/>
          <xsd:enumeration value="Procedimiento"/>
          <xsd:enumeration value="Instrucción de trabajo"/>
          <xsd:enumeration value="Cuadro Operativo"/>
          <xsd:enumeration value="Plantilla"/>
          <xsd:enumeration value="Guía"/>
          <xsd:enumeration value="Nota Operativa / Comunicado"/>
          <xsd:enumeration value="Informe"/>
          <xsd:enumeration value="Documento Externo"/>
          <xsd:enumeration value="Presentación"/>
          <xsd:enumeration value="Acta"/>
          <xsd:enumeration value="Nota interna"/>
        </xsd:restriction>
      </xsd:simpleType>
    </xsd:element>
    <xsd:element name="Grado_x0020_de_x0020_protecci_x00f3_n" ma:index="12" ma:displayName="Grado de protección" ma:default="De uso interno" ma:format="Dropdown" ma:internalName="Grado_x0020_de_x0020_protecci_x00f3_n">
      <xsd:simpleType>
        <xsd:restriction base="dms:Choice">
          <xsd:enumeration value="De uso interno"/>
          <xsd:enumeration value="Restringida"/>
          <xsd:enumeration value="Confidencial"/>
        </xsd:restriction>
      </xsd:simpleType>
    </xsd:element>
    <xsd:element name="Responsable" ma:index="13" ma:displayName="Responsable" ma:list="UserInfo" ma:SearchPeopleOnly="false" ma:SharePointGroup="0" ma:internalName="Responsable"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3ED5801A-5233-4A06-BCE1-C556C7372836}">
  <ds:schemaRefs>
    <ds:schemaRef ds:uri="http://schemas.microsoft.com/sharepoint/v3/contenttype/forms"/>
  </ds:schemaRefs>
</ds:datastoreItem>
</file>

<file path=customXml/itemProps2.xml><?xml version="1.0" encoding="utf-8"?>
<ds:datastoreItem xmlns:ds="http://schemas.openxmlformats.org/officeDocument/2006/customXml" ds:itemID="{19AD1C32-B4F6-48C2-BB92-82C7A9E11B78}">
  <ds:schemaRefs>
    <ds:schemaRef ds:uri="http://schemas.microsoft.com/office/2006/metadata/properties"/>
    <ds:schemaRef ds:uri="http://schemas.microsoft.com/office/infopath/2007/PartnerControls"/>
    <ds:schemaRef ds:uri="b3f47af1-0f4f-4d44-b97d-e61e278b691b"/>
    <ds:schemaRef ds:uri="dfca3963-a120-4ccf-8ea4-3a67a64cd1a1"/>
  </ds:schemaRefs>
</ds:datastoreItem>
</file>

<file path=customXml/itemProps3.xml><?xml version="1.0" encoding="utf-8"?>
<ds:datastoreItem xmlns:ds="http://schemas.openxmlformats.org/officeDocument/2006/customXml" ds:itemID="{20077945-4B1D-49B7-BD58-E3C4F60357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ca3963-a120-4ccf-8ea4-3a67a64cd1a1"/>
    <ds:schemaRef ds:uri="b3f47af1-0f4f-4d44-b97d-e61e278b69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72C8368-9395-4CB7-AD19-CC90969DF576}">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2</vt:i4>
      </vt:variant>
    </vt:vector>
  </HeadingPairs>
  <TitlesOfParts>
    <vt:vector size="4" baseType="lpstr">
      <vt:lpstr>PRESUPUESTO</vt:lpstr>
      <vt:lpstr>Datos cliente y condiciones</vt:lpstr>
      <vt:lpstr>'Datos cliente y condiciones'!Área_de_impresión</vt:lpstr>
      <vt:lpstr>PRESUPUESTO!Área_de_impresión</vt:lpstr>
    </vt:vector>
  </TitlesOfParts>
  <Manager/>
  <Company>MAPFRE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Presupuesto Multimap</dc:title>
  <dc:subject/>
  <dc:creator>Gómiz Celdrán, Laura</dc:creator>
  <cp:keywords/>
  <dc:description/>
  <cp:lastModifiedBy>rogamapresupuesto@gmail.com</cp:lastModifiedBy>
  <cp:revision/>
  <cp:lastPrinted>2026-02-11T16:08:23Z</cp:lastPrinted>
  <dcterms:created xsi:type="dcterms:W3CDTF">2019-01-31T12:11:21Z</dcterms:created>
  <dcterms:modified xsi:type="dcterms:W3CDTF">2026-02-11T16:08:32Z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0x010100E07ECA8656C6324981FA2B7015E9FC1E</vt:lpwstr>
  </property>
  <property fmtid="{D5CDD505-2E9C-101B-9397-08002B2CF9AE}" pid="3" name="Fecha Modificación-Revisión">
    <vt:filetime>2020-04-26T22:00:00Z</vt:filetime>
  </property>
  <property fmtid="{D5CDD505-2E9C-101B-9397-08002B2CF9AE}" pid="4" name="_dlc_DocIdItemGuid">
    <vt:lpwstr>9b8ac9c1-b807-40c9-81e7-3b9b4c92e2cb</vt:lpwstr>
  </property>
  <property fmtid="{D5CDD505-2E9C-101B-9397-08002B2CF9AE}" pid="5" name="Order">
    <vt:r8>8500</vt:r8>
  </property>
</Properties>
</file>